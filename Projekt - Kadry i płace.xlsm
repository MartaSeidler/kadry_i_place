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en_skoroszyt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Marta\Downloads\"/>
    </mc:Choice>
  </mc:AlternateContent>
  <xr:revisionPtr revIDLastSave="0" documentId="13_ncr:1_{2B22B0E0-2630-49DD-8C33-F3C2D2DF217F}" xr6:coauthVersionLast="47" xr6:coauthVersionMax="47" xr10:uidLastSave="{00000000-0000-0000-0000-000000000000}"/>
  <bookViews>
    <workbookView xWindow="-108" yWindow="-108" windowWidth="30936" windowHeight="16896" xr2:uid="{517A51CC-2A83-478F-BD10-4107093D94E2}"/>
  </bookViews>
  <sheets>
    <sheet name="Pracownicy" sheetId="1" r:id="rId1"/>
    <sheet name="ListaPłac" sheetId="9" r:id="rId2"/>
    <sheet name="Wynagrodzenie" sheetId="3" r:id="rId3"/>
    <sheet name="Wykresy" sheetId="5" r:id="rId4"/>
    <sheet name="DaneDodatkowe" sheetId="6" r:id="rId5"/>
    <sheet name="Stanowiska" sheetId="7" state="hidden" r:id="rId6"/>
  </sheets>
  <definedNames>
    <definedName name="Pracownik">Pracownicy!$C:$L</definedName>
    <definedName name="PracownikNazwisko">Tabela1[[#All],[Pracownik]]</definedName>
  </definedNames>
  <calcPr calcId="191029"/>
  <pivotCaches>
    <pivotCache cacheId="101" r:id="rId7"/>
    <pivotCache cacheId="116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9" l="1"/>
  <c r="C13" i="9"/>
  <c r="D13" i="9" s="1"/>
  <c r="L13" i="9"/>
  <c r="N13" i="9"/>
  <c r="Q13" i="9"/>
  <c r="A12" i="6"/>
  <c r="E12" i="6"/>
  <c r="F12" i="6" s="1"/>
  <c r="G12" i="6"/>
  <c r="H12" i="6"/>
  <c r="I12" i="6" s="1"/>
  <c r="B12" i="1"/>
  <c r="F12" i="1"/>
  <c r="M12" i="1" s="1"/>
  <c r="C12" i="6" s="1"/>
  <c r="D12" i="6" s="1"/>
  <c r="H12" i="1"/>
  <c r="H28" i="6"/>
  <c r="I28" i="6" s="1"/>
  <c r="G28" i="6"/>
  <c r="E28" i="6"/>
  <c r="F28" i="6" s="1"/>
  <c r="A28" i="6"/>
  <c r="H27" i="6"/>
  <c r="I27" i="6" s="1"/>
  <c r="G27" i="6"/>
  <c r="E27" i="6"/>
  <c r="F27" i="6" s="1"/>
  <c r="A27" i="6"/>
  <c r="H26" i="6"/>
  <c r="I26" i="6" s="1"/>
  <c r="G26" i="6"/>
  <c r="E26" i="6"/>
  <c r="F26" i="6" s="1"/>
  <c r="A26" i="6"/>
  <c r="H25" i="6"/>
  <c r="I25" i="6" s="1"/>
  <c r="G25" i="6"/>
  <c r="E25" i="6"/>
  <c r="F25" i="6" s="1"/>
  <c r="A25" i="6"/>
  <c r="H24" i="6"/>
  <c r="I24" i="6" s="1"/>
  <c r="G24" i="6"/>
  <c r="E24" i="6"/>
  <c r="F24" i="6" s="1"/>
  <c r="A24" i="6"/>
  <c r="H23" i="6"/>
  <c r="I23" i="6" s="1"/>
  <c r="G23" i="6"/>
  <c r="E23" i="6"/>
  <c r="F23" i="6" s="1"/>
  <c r="A23" i="6"/>
  <c r="H22" i="6"/>
  <c r="I22" i="6" s="1"/>
  <c r="G22" i="6"/>
  <c r="E22" i="6"/>
  <c r="F22" i="6" s="1"/>
  <c r="A22" i="6"/>
  <c r="H21" i="6"/>
  <c r="I21" i="6" s="1"/>
  <c r="G21" i="6"/>
  <c r="E21" i="6"/>
  <c r="F21" i="6" s="1"/>
  <c r="A21" i="6"/>
  <c r="H20" i="6"/>
  <c r="I20" i="6" s="1"/>
  <c r="G20" i="6"/>
  <c r="E20" i="6"/>
  <c r="F20" i="6" s="1"/>
  <c r="A20" i="6"/>
  <c r="H19" i="6"/>
  <c r="I19" i="6" s="1"/>
  <c r="G19" i="6"/>
  <c r="E19" i="6"/>
  <c r="F19" i="6" s="1"/>
  <c r="A19" i="6"/>
  <c r="H18" i="6"/>
  <c r="I18" i="6" s="1"/>
  <c r="G18" i="6"/>
  <c r="E18" i="6"/>
  <c r="F18" i="6" s="1"/>
  <c r="A18" i="6"/>
  <c r="H17" i="6"/>
  <c r="I17" i="6" s="1"/>
  <c r="G17" i="6"/>
  <c r="E17" i="6"/>
  <c r="F17" i="6" s="1"/>
  <c r="A17" i="6"/>
  <c r="H16" i="6"/>
  <c r="I16" i="6" s="1"/>
  <c r="G16" i="6"/>
  <c r="E16" i="6"/>
  <c r="F16" i="6" s="1"/>
  <c r="A16" i="6"/>
  <c r="H15" i="6"/>
  <c r="I15" i="6" s="1"/>
  <c r="G15" i="6"/>
  <c r="E15" i="6"/>
  <c r="F15" i="6" s="1"/>
  <c r="A15" i="6"/>
  <c r="H14" i="6"/>
  <c r="I14" i="6" s="1"/>
  <c r="G14" i="6"/>
  <c r="E14" i="6"/>
  <c r="F14" i="6" s="1"/>
  <c r="A14" i="6"/>
  <c r="H13" i="6"/>
  <c r="I13" i="6" s="1"/>
  <c r="G13" i="6"/>
  <c r="E13" i="6"/>
  <c r="F13" i="6" s="1"/>
  <c r="A13" i="6"/>
  <c r="H11" i="6"/>
  <c r="I11" i="6" s="1"/>
  <c r="G11" i="6"/>
  <c r="E11" i="6"/>
  <c r="F11" i="6" s="1"/>
  <c r="A11" i="6"/>
  <c r="H10" i="6"/>
  <c r="I10" i="6" s="1"/>
  <c r="G10" i="6"/>
  <c r="F10" i="6"/>
  <c r="E10" i="6"/>
  <c r="A10" i="6"/>
  <c r="H9" i="6"/>
  <c r="I9" i="6" s="1"/>
  <c r="G9" i="6"/>
  <c r="E9" i="6"/>
  <c r="F9" i="6" s="1"/>
  <c r="A9" i="6"/>
  <c r="H8" i="6"/>
  <c r="I8" i="6" s="1"/>
  <c r="G8" i="6"/>
  <c r="E8" i="6"/>
  <c r="F8" i="6" s="1"/>
  <c r="A8" i="6"/>
  <c r="H7" i="6"/>
  <c r="I7" i="6" s="1"/>
  <c r="G7" i="6"/>
  <c r="E7" i="6"/>
  <c r="F7" i="6" s="1"/>
  <c r="A7" i="6"/>
  <c r="H6" i="6"/>
  <c r="I6" i="6" s="1"/>
  <c r="G6" i="6"/>
  <c r="E6" i="6"/>
  <c r="F6" i="6" s="1"/>
  <c r="A6" i="6"/>
  <c r="H5" i="6"/>
  <c r="I5" i="6" s="1"/>
  <c r="G5" i="6"/>
  <c r="E5" i="6"/>
  <c r="F5" i="6" s="1"/>
  <c r="A5" i="6"/>
  <c r="H4" i="6"/>
  <c r="I4" i="6" s="1"/>
  <c r="G4" i="6"/>
  <c r="E4" i="6"/>
  <c r="F4" i="6" s="1"/>
  <c r="A4" i="6"/>
  <c r="H3" i="6"/>
  <c r="I3" i="6" s="1"/>
  <c r="G3" i="6"/>
  <c r="E3" i="6"/>
  <c r="F3" i="6" s="1"/>
  <c r="A3" i="6"/>
  <c r="H2" i="6"/>
  <c r="I2" i="6" s="1"/>
  <c r="G2" i="6"/>
  <c r="E2" i="6"/>
  <c r="F2" i="6" s="1"/>
  <c r="A2" i="6"/>
  <c r="E20" i="3"/>
  <c r="E17" i="3"/>
  <c r="E15" i="3"/>
  <c r="I6" i="3"/>
  <c r="E6" i="3"/>
  <c r="E7" i="3" s="1"/>
  <c r="E8" i="3" s="1"/>
  <c r="Q29" i="9"/>
  <c r="N29" i="9"/>
  <c r="L29" i="9"/>
  <c r="C29" i="9"/>
  <c r="A29" i="9"/>
  <c r="Q28" i="9"/>
  <c r="N28" i="9"/>
  <c r="L28" i="9"/>
  <c r="C28" i="9"/>
  <c r="A28" i="9"/>
  <c r="Q27" i="9"/>
  <c r="N27" i="9"/>
  <c r="L27" i="9"/>
  <c r="C27" i="9"/>
  <c r="A27" i="9"/>
  <c r="Q26" i="9"/>
  <c r="N26" i="9"/>
  <c r="L26" i="9"/>
  <c r="C26" i="9"/>
  <c r="D26" i="9" s="1"/>
  <c r="E26" i="9" s="1"/>
  <c r="A26" i="9"/>
  <c r="Q25" i="9"/>
  <c r="N25" i="9"/>
  <c r="L25" i="9"/>
  <c r="C25" i="9"/>
  <c r="A25" i="9"/>
  <c r="Q24" i="9"/>
  <c r="N24" i="9"/>
  <c r="L24" i="9"/>
  <c r="C24" i="9"/>
  <c r="A24" i="9"/>
  <c r="Q23" i="9"/>
  <c r="N23" i="9"/>
  <c r="L23" i="9"/>
  <c r="C23" i="9"/>
  <c r="A23" i="9"/>
  <c r="Q22" i="9"/>
  <c r="N22" i="9"/>
  <c r="L22" i="9"/>
  <c r="C22" i="9"/>
  <c r="D22" i="9" s="1"/>
  <c r="E22" i="9" s="1"/>
  <c r="A22" i="9"/>
  <c r="Q21" i="9"/>
  <c r="N21" i="9"/>
  <c r="L21" i="9"/>
  <c r="C21" i="9"/>
  <c r="A21" i="9"/>
  <c r="Q20" i="9"/>
  <c r="N20" i="9"/>
  <c r="L20" i="9"/>
  <c r="C20" i="9"/>
  <c r="D20" i="9" s="1"/>
  <c r="E20" i="9" s="1"/>
  <c r="A20" i="9"/>
  <c r="Q19" i="9"/>
  <c r="N19" i="9"/>
  <c r="L19" i="9"/>
  <c r="C19" i="9"/>
  <c r="A19" i="9"/>
  <c r="Q18" i="9"/>
  <c r="N18" i="9"/>
  <c r="L18" i="9"/>
  <c r="C18" i="9"/>
  <c r="D18" i="9" s="1"/>
  <c r="E18" i="9" s="1"/>
  <c r="A18" i="9"/>
  <c r="Q17" i="9"/>
  <c r="N17" i="9"/>
  <c r="L17" i="9"/>
  <c r="C17" i="9"/>
  <c r="A17" i="9"/>
  <c r="Q16" i="9"/>
  <c r="N16" i="9"/>
  <c r="L16" i="9"/>
  <c r="C16" i="9"/>
  <c r="D16" i="9" s="1"/>
  <c r="E16" i="9" s="1"/>
  <c r="A16" i="9"/>
  <c r="Q15" i="9"/>
  <c r="N15" i="9"/>
  <c r="L15" i="9"/>
  <c r="C15" i="9"/>
  <c r="A15" i="9"/>
  <c r="Q14" i="9"/>
  <c r="N14" i="9"/>
  <c r="L14" i="9"/>
  <c r="C14" i="9"/>
  <c r="D14" i="9" s="1"/>
  <c r="E14" i="9" s="1"/>
  <c r="A14" i="9"/>
  <c r="Q12" i="9"/>
  <c r="N12" i="9"/>
  <c r="L12" i="9"/>
  <c r="C12" i="9"/>
  <c r="A12" i="9"/>
  <c r="Q11" i="9"/>
  <c r="N11" i="9"/>
  <c r="L11" i="9"/>
  <c r="C11" i="9"/>
  <c r="A11" i="9"/>
  <c r="Q10" i="9"/>
  <c r="N10" i="9"/>
  <c r="L10" i="9"/>
  <c r="C10" i="9"/>
  <c r="D10" i="9" s="1"/>
  <c r="E10" i="9" s="1"/>
  <c r="A10" i="9"/>
  <c r="Q9" i="9"/>
  <c r="N9" i="9"/>
  <c r="L9" i="9"/>
  <c r="C9" i="9"/>
  <c r="D9" i="9" s="1"/>
  <c r="E9" i="9" s="1"/>
  <c r="A9" i="9"/>
  <c r="Q8" i="9"/>
  <c r="N8" i="9"/>
  <c r="L8" i="9"/>
  <c r="C8" i="9"/>
  <c r="A8" i="9"/>
  <c r="Q7" i="9"/>
  <c r="N7" i="9"/>
  <c r="L7" i="9"/>
  <c r="C7" i="9"/>
  <c r="D7" i="9" s="1"/>
  <c r="E7" i="9" s="1"/>
  <c r="A7" i="9"/>
  <c r="Q6" i="9"/>
  <c r="N6" i="9"/>
  <c r="L6" i="9"/>
  <c r="C6" i="9"/>
  <c r="D6" i="9" s="1"/>
  <c r="E6" i="9" s="1"/>
  <c r="T6" i="9" s="1"/>
  <c r="A6" i="9"/>
  <c r="Q5" i="9"/>
  <c r="N5" i="9"/>
  <c r="L5" i="9"/>
  <c r="C5" i="9"/>
  <c r="D5" i="9" s="1"/>
  <c r="E5" i="9" s="1"/>
  <c r="A5" i="9"/>
  <c r="Q4" i="9"/>
  <c r="N4" i="9"/>
  <c r="L4" i="9"/>
  <c r="C4" i="9"/>
  <c r="A4" i="9"/>
  <c r="Q3" i="9"/>
  <c r="N3" i="9"/>
  <c r="L3" i="9"/>
  <c r="C3" i="9"/>
  <c r="D3" i="9" s="1"/>
  <c r="A3" i="9"/>
  <c r="M28" i="1"/>
  <c r="C28" i="6" s="1"/>
  <c r="H28" i="1"/>
  <c r="F28" i="1"/>
  <c r="B28" i="1"/>
  <c r="H27" i="1"/>
  <c r="F27" i="1"/>
  <c r="M27" i="1" s="1"/>
  <c r="C27" i="6" s="1"/>
  <c r="B27" i="1"/>
  <c r="M26" i="1"/>
  <c r="C26" i="6" s="1"/>
  <c r="H26" i="1"/>
  <c r="F26" i="1"/>
  <c r="B26" i="1"/>
  <c r="M25" i="1"/>
  <c r="C25" i="6" s="1"/>
  <c r="H25" i="1"/>
  <c r="F25" i="1"/>
  <c r="B25" i="1"/>
  <c r="H24" i="1"/>
  <c r="F24" i="1"/>
  <c r="M24" i="1" s="1"/>
  <c r="C24" i="6" s="1"/>
  <c r="B24" i="1"/>
  <c r="M23" i="1"/>
  <c r="C23" i="6" s="1"/>
  <c r="H23" i="1"/>
  <c r="F23" i="1"/>
  <c r="B23" i="1"/>
  <c r="M22" i="1"/>
  <c r="C22" i="6" s="1"/>
  <c r="H22" i="1"/>
  <c r="F22" i="1"/>
  <c r="B22" i="1"/>
  <c r="H21" i="1"/>
  <c r="F21" i="1"/>
  <c r="M21" i="1" s="1"/>
  <c r="C21" i="6" s="1"/>
  <c r="B21" i="1"/>
  <c r="M20" i="1"/>
  <c r="C20" i="6" s="1"/>
  <c r="H20" i="1"/>
  <c r="F20" i="1"/>
  <c r="B20" i="1"/>
  <c r="H19" i="1"/>
  <c r="F19" i="1"/>
  <c r="M19" i="1" s="1"/>
  <c r="C19" i="6" s="1"/>
  <c r="B19" i="1"/>
  <c r="H18" i="1"/>
  <c r="F18" i="1"/>
  <c r="M18" i="1" s="1"/>
  <c r="C18" i="6" s="1"/>
  <c r="B18" i="1"/>
  <c r="H17" i="1"/>
  <c r="F17" i="1"/>
  <c r="M17" i="1" s="1"/>
  <c r="C17" i="6" s="1"/>
  <c r="B17" i="1"/>
  <c r="H16" i="1"/>
  <c r="F16" i="1"/>
  <c r="M16" i="1" s="1"/>
  <c r="C16" i="6" s="1"/>
  <c r="B16" i="1"/>
  <c r="H15" i="1"/>
  <c r="F15" i="1"/>
  <c r="M15" i="1" s="1"/>
  <c r="C15" i="6" s="1"/>
  <c r="B15" i="1"/>
  <c r="H14" i="1"/>
  <c r="F14" i="1"/>
  <c r="M14" i="1" s="1"/>
  <c r="C14" i="6" s="1"/>
  <c r="B14" i="1"/>
  <c r="H13" i="1"/>
  <c r="F13" i="1"/>
  <c r="M13" i="1" s="1"/>
  <c r="C13" i="6" s="1"/>
  <c r="B13" i="1"/>
  <c r="H11" i="1"/>
  <c r="F11" i="1"/>
  <c r="M11" i="1" s="1"/>
  <c r="C11" i="6" s="1"/>
  <c r="B11" i="1"/>
  <c r="H10" i="1"/>
  <c r="F10" i="1"/>
  <c r="M10" i="1" s="1"/>
  <c r="C10" i="6" s="1"/>
  <c r="B10" i="1"/>
  <c r="H9" i="1"/>
  <c r="F9" i="1"/>
  <c r="M9" i="1" s="1"/>
  <c r="C9" i="6" s="1"/>
  <c r="B9" i="1"/>
  <c r="H8" i="1"/>
  <c r="F8" i="1"/>
  <c r="M8" i="1" s="1"/>
  <c r="C8" i="6" s="1"/>
  <c r="B8" i="1"/>
  <c r="H7" i="1"/>
  <c r="F7" i="1"/>
  <c r="M7" i="1" s="1"/>
  <c r="C7" i="6" s="1"/>
  <c r="B7" i="1"/>
  <c r="H6" i="1"/>
  <c r="F6" i="1"/>
  <c r="M6" i="1" s="1"/>
  <c r="C6" i="6" s="1"/>
  <c r="B6" i="1"/>
  <c r="H5" i="1"/>
  <c r="F5" i="1"/>
  <c r="M5" i="1" s="1"/>
  <c r="C5" i="6" s="1"/>
  <c r="B5" i="1"/>
  <c r="H4" i="1"/>
  <c r="F4" i="1"/>
  <c r="M4" i="1" s="1"/>
  <c r="C4" i="6" s="1"/>
  <c r="B4" i="1"/>
  <c r="H3" i="1"/>
  <c r="F3" i="1"/>
  <c r="M3" i="1" s="1"/>
  <c r="C3" i="6" s="1"/>
  <c r="B3" i="1"/>
  <c r="H2" i="1"/>
  <c r="F2" i="1"/>
  <c r="M2" i="1" s="1"/>
  <c r="C2" i="6" s="1"/>
  <c r="B2" i="1"/>
  <c r="I7" i="3" l="1"/>
  <c r="I8" i="3" s="1"/>
  <c r="U20" i="9"/>
  <c r="H20" i="9"/>
  <c r="F20" i="9"/>
  <c r="U16" i="9"/>
  <c r="T16" i="9"/>
  <c r="F16" i="9"/>
  <c r="H16" i="9"/>
  <c r="D24" i="9"/>
  <c r="E24" i="9" s="1"/>
  <c r="L1" i="9"/>
  <c r="D28" i="9"/>
  <c r="E28" i="9" s="1"/>
  <c r="H6" i="9"/>
  <c r="C1" i="9"/>
  <c r="J12" i="6"/>
  <c r="E13" i="9"/>
  <c r="D11" i="9"/>
  <c r="E11" i="9" s="1"/>
  <c r="J28" i="6"/>
  <c r="F5" i="9"/>
  <c r="H5" i="9"/>
  <c r="U5" i="9"/>
  <c r="T5" i="9"/>
  <c r="S5" i="9"/>
  <c r="G5" i="9"/>
  <c r="E3" i="9"/>
  <c r="H14" i="9"/>
  <c r="U14" i="9"/>
  <c r="T14" i="9"/>
  <c r="S14" i="9"/>
  <c r="G14" i="9"/>
  <c r="F14" i="9"/>
  <c r="N1" i="9"/>
  <c r="F18" i="9"/>
  <c r="U18" i="9"/>
  <c r="T18" i="9"/>
  <c r="H18" i="9"/>
  <c r="S18" i="9"/>
  <c r="G18" i="9"/>
  <c r="S10" i="9"/>
  <c r="G10" i="9"/>
  <c r="F10" i="9"/>
  <c r="U10" i="9"/>
  <c r="H10" i="9"/>
  <c r="T10" i="9"/>
  <c r="S6" i="9"/>
  <c r="G6" i="9"/>
  <c r="F6" i="9"/>
  <c r="U6" i="9"/>
  <c r="T26" i="9"/>
  <c r="H26" i="9"/>
  <c r="U26" i="9"/>
  <c r="S26" i="9"/>
  <c r="G26" i="9"/>
  <c r="F26" i="9"/>
  <c r="E11" i="3"/>
  <c r="E10" i="3"/>
  <c r="E9" i="3"/>
  <c r="F9" i="9"/>
  <c r="T9" i="9"/>
  <c r="U9" i="9"/>
  <c r="H9" i="9"/>
  <c r="S9" i="9"/>
  <c r="G9" i="9"/>
  <c r="U7" i="9"/>
  <c r="T7" i="9"/>
  <c r="H7" i="9"/>
  <c r="S7" i="9"/>
  <c r="G7" i="9"/>
  <c r="F7" i="9"/>
  <c r="T22" i="9"/>
  <c r="H22" i="9"/>
  <c r="U22" i="9"/>
  <c r="S22" i="9"/>
  <c r="G22" i="9"/>
  <c r="F22" i="9"/>
  <c r="Q1" i="9"/>
  <c r="D4" i="9"/>
  <c r="E4" i="9" s="1"/>
  <c r="D8" i="9"/>
  <c r="E8" i="9" s="1"/>
  <c r="D12" i="9"/>
  <c r="E12" i="9" s="1"/>
  <c r="D17" i="9"/>
  <c r="E17" i="9" s="1"/>
  <c r="D21" i="9"/>
  <c r="E21" i="9" s="1"/>
  <c r="D25" i="9"/>
  <c r="E25" i="9" s="1"/>
  <c r="D29" i="9"/>
  <c r="E29" i="9" s="1"/>
  <c r="D15" i="9"/>
  <c r="E15" i="9" s="1"/>
  <c r="G16" i="9"/>
  <c r="S16" i="9"/>
  <c r="D19" i="9"/>
  <c r="E19" i="9" s="1"/>
  <c r="G20" i="9"/>
  <c r="S20" i="9"/>
  <c r="D23" i="9"/>
  <c r="E23" i="9" s="1"/>
  <c r="D27" i="9"/>
  <c r="E27" i="9" s="1"/>
  <c r="T20" i="9"/>
  <c r="J3" i="6"/>
  <c r="D3" i="6"/>
  <c r="D9" i="6"/>
  <c r="J9" i="6"/>
  <c r="J15" i="6"/>
  <c r="D15" i="6"/>
  <c r="J20" i="6"/>
  <c r="D20" i="6"/>
  <c r="J24" i="6"/>
  <c r="D24" i="6"/>
  <c r="D25" i="6"/>
  <c r="J25" i="6"/>
  <c r="J27" i="6"/>
  <c r="D27" i="6"/>
  <c r="J2" i="6"/>
  <c r="D2" i="6"/>
  <c r="D4" i="6"/>
  <c r="J4" i="6"/>
  <c r="D5" i="6"/>
  <c r="J5" i="6"/>
  <c r="J7" i="6"/>
  <c r="D7" i="6"/>
  <c r="J10" i="6"/>
  <c r="D10" i="6"/>
  <c r="D13" i="6"/>
  <c r="J13" i="6"/>
  <c r="J16" i="6"/>
  <c r="D16" i="6"/>
  <c r="D18" i="6"/>
  <c r="J18" i="6"/>
  <c r="D21" i="6"/>
  <c r="J21" i="6"/>
  <c r="J23" i="6"/>
  <c r="D23" i="6"/>
  <c r="J6" i="6"/>
  <c r="D6" i="6"/>
  <c r="D8" i="6"/>
  <c r="J8" i="6"/>
  <c r="J11" i="6"/>
  <c r="D11" i="6"/>
  <c r="D14" i="6"/>
  <c r="J14" i="6"/>
  <c r="D17" i="6"/>
  <c r="J17" i="6"/>
  <c r="J19" i="6"/>
  <c r="D19" i="6"/>
  <c r="D22" i="6"/>
  <c r="J22" i="6"/>
  <c r="D26" i="6"/>
  <c r="J26" i="6"/>
  <c r="D28" i="6"/>
  <c r="I20" i="9" l="1"/>
  <c r="G28" i="9"/>
  <c r="S28" i="9"/>
  <c r="H28" i="9"/>
  <c r="T28" i="9"/>
  <c r="V16" i="9"/>
  <c r="V9" i="9"/>
  <c r="I11" i="3"/>
  <c r="I10" i="3"/>
  <c r="I9" i="3"/>
  <c r="I6" i="9"/>
  <c r="J6" i="9" s="1"/>
  <c r="K6" i="9" s="1"/>
  <c r="V14" i="9"/>
  <c r="I9" i="9"/>
  <c r="J9" i="9" s="1"/>
  <c r="K9" i="9" s="1"/>
  <c r="M9" i="9" s="1"/>
  <c r="O9" i="9" s="1"/>
  <c r="V18" i="9"/>
  <c r="E12" i="3"/>
  <c r="E13" i="3" s="1"/>
  <c r="E14" i="3" s="1"/>
  <c r="E16" i="3" s="1"/>
  <c r="E18" i="3" s="1"/>
  <c r="U24" i="9"/>
  <c r="H24" i="9"/>
  <c r="F24" i="9"/>
  <c r="T24" i="9"/>
  <c r="G24" i="9"/>
  <c r="S24" i="9"/>
  <c r="V24" i="9" s="1"/>
  <c r="H11" i="9"/>
  <c r="F11" i="9"/>
  <c r="U11" i="9"/>
  <c r="T11" i="9"/>
  <c r="S11" i="9"/>
  <c r="G11" i="9"/>
  <c r="V5" i="9"/>
  <c r="I26" i="9"/>
  <c r="I14" i="9"/>
  <c r="V10" i="9"/>
  <c r="U28" i="9"/>
  <c r="F28" i="9"/>
  <c r="I28" i="9" s="1"/>
  <c r="F13" i="9"/>
  <c r="G13" i="9"/>
  <c r="S13" i="9"/>
  <c r="H13" i="9"/>
  <c r="T13" i="9"/>
  <c r="U13" i="9"/>
  <c r="W13" i="9"/>
  <c r="X13" i="9"/>
  <c r="I16" i="9"/>
  <c r="U4" i="9"/>
  <c r="T4" i="9"/>
  <c r="H4" i="9"/>
  <c r="S4" i="9"/>
  <c r="G4" i="9"/>
  <c r="F4" i="9"/>
  <c r="U12" i="9"/>
  <c r="T12" i="9"/>
  <c r="H12" i="9"/>
  <c r="S12" i="9"/>
  <c r="G12" i="9"/>
  <c r="F12" i="9"/>
  <c r="U29" i="9"/>
  <c r="T29" i="9"/>
  <c r="H29" i="9"/>
  <c r="S29" i="9"/>
  <c r="G29" i="9"/>
  <c r="F29" i="9"/>
  <c r="X29" i="9"/>
  <c r="W29" i="9"/>
  <c r="S19" i="9"/>
  <c r="G19" i="9"/>
  <c r="F19" i="9"/>
  <c r="T19" i="9"/>
  <c r="H19" i="9"/>
  <c r="U19" i="9"/>
  <c r="U21" i="9"/>
  <c r="T21" i="9"/>
  <c r="H21" i="9"/>
  <c r="S21" i="9"/>
  <c r="G21" i="9"/>
  <c r="F21" i="9"/>
  <c r="U3" i="9"/>
  <c r="T3" i="9"/>
  <c r="H3" i="9"/>
  <c r="E1" i="9"/>
  <c r="S3" i="9"/>
  <c r="G3" i="9"/>
  <c r="F3" i="9"/>
  <c r="J20" i="9"/>
  <c r="K20" i="9" s="1"/>
  <c r="S23" i="9"/>
  <c r="G23" i="9"/>
  <c r="F23" i="9"/>
  <c r="T23" i="9"/>
  <c r="H23" i="9"/>
  <c r="U23" i="9"/>
  <c r="V26" i="9"/>
  <c r="J16" i="9"/>
  <c r="K16" i="9" s="1"/>
  <c r="U17" i="9"/>
  <c r="T17" i="9"/>
  <c r="H17" i="9"/>
  <c r="S17" i="9"/>
  <c r="G17" i="9"/>
  <c r="F17" i="9"/>
  <c r="E19" i="3"/>
  <c r="E21" i="3" s="1"/>
  <c r="V6" i="9"/>
  <c r="D1" i="9"/>
  <c r="V28" i="9"/>
  <c r="S27" i="9"/>
  <c r="G27" i="9"/>
  <c r="F27" i="9"/>
  <c r="T27" i="9"/>
  <c r="U27" i="9"/>
  <c r="H27" i="9"/>
  <c r="U8" i="9"/>
  <c r="T8" i="9"/>
  <c r="H8" i="9"/>
  <c r="S8" i="9"/>
  <c r="G8" i="9"/>
  <c r="F8" i="9"/>
  <c r="J26" i="9"/>
  <c r="K26" i="9" s="1"/>
  <c r="M26" i="9" s="1"/>
  <c r="O26" i="9" s="1"/>
  <c r="S15" i="9"/>
  <c r="G15" i="9"/>
  <c r="F15" i="9"/>
  <c r="U15" i="9"/>
  <c r="H15" i="9"/>
  <c r="T15" i="9"/>
  <c r="U25" i="9"/>
  <c r="T25" i="9"/>
  <c r="H25" i="9"/>
  <c r="S25" i="9"/>
  <c r="G25" i="9"/>
  <c r="F25" i="9"/>
  <c r="I7" i="9"/>
  <c r="I18" i="9"/>
  <c r="I22" i="9"/>
  <c r="V7" i="9"/>
  <c r="J14" i="9"/>
  <c r="K14" i="9" s="1"/>
  <c r="I5" i="9"/>
  <c r="V20" i="9"/>
  <c r="V22" i="9"/>
  <c r="I10" i="9"/>
  <c r="X15" i="9"/>
  <c r="W15" i="9"/>
  <c r="X26" i="9"/>
  <c r="W26" i="9"/>
  <c r="X10" i="9"/>
  <c r="W10" i="9"/>
  <c r="X20" i="9"/>
  <c r="W20" i="9"/>
  <c r="X17" i="9"/>
  <c r="W17" i="9"/>
  <c r="X11" i="9"/>
  <c r="W11" i="9"/>
  <c r="I13" i="3"/>
  <c r="X3" i="9"/>
  <c r="I14" i="3"/>
  <c r="W3" i="9"/>
  <c r="X21" i="9"/>
  <c r="W21" i="9"/>
  <c r="X23" i="9"/>
  <c r="W23" i="9"/>
  <c r="X19" i="9"/>
  <c r="W19" i="9"/>
  <c r="X27" i="9"/>
  <c r="W27" i="9"/>
  <c r="X9" i="9"/>
  <c r="W9" i="9"/>
  <c r="X22" i="9"/>
  <c r="W22" i="9"/>
  <c r="X6" i="9"/>
  <c r="W6" i="9"/>
  <c r="X18" i="9"/>
  <c r="W18" i="9"/>
  <c r="X14" i="9"/>
  <c r="W14" i="9"/>
  <c r="X5" i="9"/>
  <c r="W5" i="9"/>
  <c r="X12" i="9"/>
  <c r="W12" i="9"/>
  <c r="X7" i="9"/>
  <c r="W7" i="9"/>
  <c r="X24" i="9"/>
  <c r="W24" i="9"/>
  <c r="X8" i="9"/>
  <c r="W8" i="9"/>
  <c r="X28" i="9"/>
  <c r="W28" i="9"/>
  <c r="X25" i="9"/>
  <c r="W25" i="9"/>
  <c r="X16" i="9"/>
  <c r="W16" i="9"/>
  <c r="X4" i="9"/>
  <c r="W4" i="9"/>
  <c r="Y6" i="9" l="1"/>
  <c r="Y5" i="9"/>
  <c r="M16" i="9"/>
  <c r="O16" i="9" s="1"/>
  <c r="P16" i="9" s="1"/>
  <c r="R16" i="9" s="1"/>
  <c r="V12" i="9"/>
  <c r="Y10" i="9"/>
  <c r="V8" i="9"/>
  <c r="Y8" i="9" s="1"/>
  <c r="V17" i="9"/>
  <c r="Y17" i="9" s="1"/>
  <c r="I13" i="9"/>
  <c r="J13" i="9" s="1"/>
  <c r="K13" i="9" s="1"/>
  <c r="I12" i="3"/>
  <c r="I15" i="3" s="1"/>
  <c r="Y28" i="9"/>
  <c r="Y14" i="9"/>
  <c r="I24" i="9"/>
  <c r="V25" i="9"/>
  <c r="Y25" i="9" s="1"/>
  <c r="V4" i="9"/>
  <c r="Y4" i="9" s="1"/>
  <c r="V11" i="9"/>
  <c r="Y11" i="9" s="1"/>
  <c r="I12" i="9"/>
  <c r="J12" i="9" s="1"/>
  <c r="K12" i="9" s="1"/>
  <c r="I21" i="9"/>
  <c r="V19" i="9"/>
  <c r="Y19" i="9" s="1"/>
  <c r="I27" i="9"/>
  <c r="J27" i="9" s="1"/>
  <c r="K27" i="9" s="1"/>
  <c r="P9" i="9"/>
  <c r="R9" i="9" s="1"/>
  <c r="P26" i="9"/>
  <c r="R26" i="9" s="1"/>
  <c r="V27" i="9"/>
  <c r="Y27" i="9" s="1"/>
  <c r="I4" i="9"/>
  <c r="J4" i="9" s="1"/>
  <c r="K4" i="9" s="1"/>
  <c r="M4" i="9" s="1"/>
  <c r="O4" i="9" s="1"/>
  <c r="M20" i="9"/>
  <c r="O20" i="9" s="1"/>
  <c r="P20" i="9" s="1"/>
  <c r="R20" i="9" s="1"/>
  <c r="V13" i="9"/>
  <c r="Y13" i="9" s="1"/>
  <c r="I11" i="9"/>
  <c r="Y24" i="9"/>
  <c r="H1" i="9"/>
  <c r="Y18" i="9"/>
  <c r="T1" i="9"/>
  <c r="I25" i="9"/>
  <c r="I23" i="9"/>
  <c r="U1" i="9"/>
  <c r="J28" i="9"/>
  <c r="K28" i="9" s="1"/>
  <c r="M28" i="9" s="1"/>
  <c r="O28" i="9" s="1"/>
  <c r="P28" i="9" s="1"/>
  <c r="R28" i="9" s="1"/>
  <c r="M6" i="9"/>
  <c r="O6" i="9" s="1"/>
  <c r="P6" i="9" s="1"/>
  <c r="R6" i="9" s="1"/>
  <c r="I15" i="9"/>
  <c r="V23" i="9"/>
  <c r="J22" i="9"/>
  <c r="K22" i="9" s="1"/>
  <c r="M22" i="9" s="1"/>
  <c r="O22" i="9" s="1"/>
  <c r="P22" i="9" s="1"/>
  <c r="R22" i="9" s="1"/>
  <c r="M14" i="9"/>
  <c r="O14" i="9" s="1"/>
  <c r="P14" i="9" s="1"/>
  <c r="R14" i="9" s="1"/>
  <c r="J18" i="9"/>
  <c r="K18" i="9" s="1"/>
  <c r="V15" i="9"/>
  <c r="Y15" i="9" s="1"/>
  <c r="I29" i="9"/>
  <c r="J5" i="9"/>
  <c r="K5" i="9" s="1"/>
  <c r="M5" i="9" s="1"/>
  <c r="O5" i="9" s="1"/>
  <c r="Y16" i="9"/>
  <c r="Y12" i="9"/>
  <c r="Y9" i="9"/>
  <c r="F1" i="9"/>
  <c r="I3" i="9"/>
  <c r="V29" i="9"/>
  <c r="Y29" i="9" s="1"/>
  <c r="J10" i="9"/>
  <c r="K10" i="9" s="1"/>
  <c r="M10" i="9" s="1"/>
  <c r="O10" i="9" s="1"/>
  <c r="J7" i="9"/>
  <c r="K7" i="9" s="1"/>
  <c r="M7" i="9" s="1"/>
  <c r="O7" i="9" s="1"/>
  <c r="P7" i="9" s="1"/>
  <c r="R7" i="9" s="1"/>
  <c r="I8" i="9"/>
  <c r="G1" i="9"/>
  <c r="V21" i="9"/>
  <c r="Y21" i="9" s="1"/>
  <c r="I17" i="9"/>
  <c r="V3" i="9"/>
  <c r="Y3" i="9" s="1"/>
  <c r="S1" i="9"/>
  <c r="I19" i="9"/>
  <c r="Y23" i="9"/>
  <c r="Y7" i="9"/>
  <c r="Y22" i="9"/>
  <c r="Y26" i="9"/>
  <c r="Y20" i="9"/>
  <c r="W1" i="9"/>
  <c r="X1" i="9"/>
  <c r="J24" i="9" l="1"/>
  <c r="K24" i="9" s="1"/>
  <c r="M24" i="9" s="1"/>
  <c r="O24" i="9" s="1"/>
  <c r="M13" i="9"/>
  <c r="O13" i="9" s="1"/>
  <c r="P13" i="9" s="1"/>
  <c r="R13" i="9" s="1"/>
  <c r="J11" i="9"/>
  <c r="K11" i="9" s="1"/>
  <c r="M11" i="9" s="1"/>
  <c r="O11" i="9" s="1"/>
  <c r="P11" i="9" s="1"/>
  <c r="R11" i="9" s="1"/>
  <c r="J21" i="9"/>
  <c r="K21" i="9" s="1"/>
  <c r="M21" i="9" s="1"/>
  <c r="O21" i="9" s="1"/>
  <c r="M18" i="9"/>
  <c r="O18" i="9" s="1"/>
  <c r="P18" i="9" s="1"/>
  <c r="R18" i="9" s="1"/>
  <c r="M27" i="9"/>
  <c r="O27" i="9" s="1"/>
  <c r="P27" i="9" s="1"/>
  <c r="R27" i="9" s="1"/>
  <c r="M12" i="9"/>
  <c r="O12" i="9" s="1"/>
  <c r="P12" i="9" s="1"/>
  <c r="R12" i="9" s="1"/>
  <c r="P4" i="9"/>
  <c r="R4" i="9" s="1"/>
  <c r="P10" i="9"/>
  <c r="R10" i="9" s="1"/>
  <c r="P5" i="9"/>
  <c r="R5" i="9" s="1"/>
  <c r="J15" i="9"/>
  <c r="K15" i="9" s="1"/>
  <c r="J29" i="9"/>
  <c r="K29" i="9" s="1"/>
  <c r="J25" i="9"/>
  <c r="K25" i="9" s="1"/>
  <c r="M25" i="9" s="1"/>
  <c r="O25" i="9" s="1"/>
  <c r="P25" i="9" s="1"/>
  <c r="R25" i="9" s="1"/>
  <c r="V1" i="9"/>
  <c r="J17" i="9"/>
  <c r="K17" i="9" s="1"/>
  <c r="I1" i="9"/>
  <c r="J3" i="9"/>
  <c r="J8" i="9"/>
  <c r="K8" i="9" s="1"/>
  <c r="J19" i="9"/>
  <c r="K19" i="9" s="1"/>
  <c r="M19" i="9" s="1"/>
  <c r="O19" i="9" s="1"/>
  <c r="P19" i="9" s="1"/>
  <c r="R19" i="9" s="1"/>
  <c r="J23" i="9"/>
  <c r="K23" i="9" s="1"/>
  <c r="M23" i="9" s="1"/>
  <c r="O23" i="9" s="1"/>
  <c r="P23" i="9" s="1"/>
  <c r="R23" i="9" s="1"/>
  <c r="Y1" i="9"/>
  <c r="P24" i="9" l="1"/>
  <c r="R24" i="9" s="1"/>
  <c r="P21" i="9"/>
  <c r="R21" i="9" s="1"/>
  <c r="M29" i="9"/>
  <c r="O29" i="9" s="1"/>
  <c r="P29" i="9" s="1"/>
  <c r="R29" i="9" s="1"/>
  <c r="M8" i="9"/>
  <c r="O8" i="9" s="1"/>
  <c r="P8" i="9" s="1"/>
  <c r="R8" i="9" s="1"/>
  <c r="J1" i="9"/>
  <c r="K3" i="9"/>
  <c r="M15" i="9"/>
  <c r="O15" i="9" s="1"/>
  <c r="P15" i="9" s="1"/>
  <c r="R15" i="9" s="1"/>
  <c r="M17" i="9"/>
  <c r="O17" i="9" s="1"/>
  <c r="P17" i="9" s="1"/>
  <c r="R17" i="9" s="1"/>
  <c r="K1" i="9" l="1"/>
  <c r="M3" i="9"/>
  <c r="M1" i="9" l="1"/>
  <c r="O3" i="9"/>
  <c r="O1" i="9" l="1"/>
  <c r="P3" i="9"/>
  <c r="P1" i="9" l="1"/>
  <c r="R3" i="9"/>
  <c r="R1" i="9" s="1"/>
</calcChain>
</file>

<file path=xl/sharedStrings.xml><?xml version="1.0" encoding="utf-8"?>
<sst xmlns="http://schemas.openxmlformats.org/spreadsheetml/2006/main" count="382" uniqueCount="161">
  <si>
    <t>Lp</t>
  </si>
  <si>
    <t>Pracownik</t>
  </si>
  <si>
    <t>Stanowisko</t>
  </si>
  <si>
    <t>PESEL</t>
  </si>
  <si>
    <t>Data urodzenia</t>
  </si>
  <si>
    <t>Data zatrudnienia</t>
  </si>
  <si>
    <t>Wynagrodzenie</t>
  </si>
  <si>
    <t>Czy zwiększone koszty?</t>
  </si>
  <si>
    <t>Czy ulga podatkowa?</t>
  </si>
  <si>
    <t>Ubezpieczenie</t>
  </si>
  <si>
    <t>Nowak Jan</t>
  </si>
  <si>
    <t>prezes</t>
  </si>
  <si>
    <t>Kowalska Ewa</t>
  </si>
  <si>
    <t>mechanik</t>
  </si>
  <si>
    <t>pracownik produkcji</t>
  </si>
  <si>
    <t>kierownik produkcji</t>
  </si>
  <si>
    <t>Malinowski Henryk</t>
  </si>
  <si>
    <t>Staż [dni]</t>
  </si>
  <si>
    <t>Frankowski Franciszek</t>
  </si>
  <si>
    <t>Nowak Piotr</t>
  </si>
  <si>
    <t>Składnik</t>
  </si>
  <si>
    <t>Kwota</t>
  </si>
  <si>
    <t>Premia</t>
  </si>
  <si>
    <t>Brutto</t>
  </si>
  <si>
    <t>Premia 10%</t>
  </si>
  <si>
    <t>Składka emerytalna</t>
  </si>
  <si>
    <t>Składka chorobowa</t>
  </si>
  <si>
    <t>Składka rentowa</t>
  </si>
  <si>
    <t>Składki pracownika</t>
  </si>
  <si>
    <t>Podstawa składki zdrowotnej</t>
  </si>
  <si>
    <t>Składka zdrowotna</t>
  </si>
  <si>
    <t>Koszty uzyskania przychodu</t>
  </si>
  <si>
    <t>Netto</t>
  </si>
  <si>
    <t>Wypłata na ROR</t>
  </si>
  <si>
    <t>Podstawa podatku</t>
  </si>
  <si>
    <t>Ulga podatkowa</t>
  </si>
  <si>
    <t>Zaliczka na podatek</t>
  </si>
  <si>
    <t>Wynagrodzenie pracownika</t>
  </si>
  <si>
    <t>Koszt pracodawcy</t>
  </si>
  <si>
    <t>Składka wypadkowa</t>
  </si>
  <si>
    <t>Składki razem</t>
  </si>
  <si>
    <t>FP</t>
  </si>
  <si>
    <t>FGŚP</t>
  </si>
  <si>
    <t>Razem</t>
  </si>
  <si>
    <t>laborant</t>
  </si>
  <si>
    <t>Kowalski Paweł</t>
  </si>
  <si>
    <t>Baczyńska Halina</t>
  </si>
  <si>
    <t>księgowy</t>
  </si>
  <si>
    <t>TAK</t>
  </si>
  <si>
    <t>NIE</t>
  </si>
  <si>
    <t>Michalska Teresa</t>
  </si>
  <si>
    <t>Etykiety wierszy</t>
  </si>
  <si>
    <t>Suma końcowa</t>
  </si>
  <si>
    <t>Średnia z Wynagrodzenie</t>
  </si>
  <si>
    <t>Liczba z Stanowisko</t>
  </si>
  <si>
    <t>Adamska Wioleta</t>
  </si>
  <si>
    <t>magazynier</t>
  </si>
  <si>
    <t>Dudek Hanna</t>
  </si>
  <si>
    <t>Głowacki Ryszard</t>
  </si>
  <si>
    <t>Krakowska Natalia</t>
  </si>
  <si>
    <t>Sankowska Bożena</t>
  </si>
  <si>
    <t>specjalista ds. kadr</t>
  </si>
  <si>
    <t>Wolski Tadeusz</t>
  </si>
  <si>
    <t>kierownik handlu</t>
  </si>
  <si>
    <t>Tarnowski Błażej</t>
  </si>
  <si>
    <t>Górski Patryk</t>
  </si>
  <si>
    <t>Wiek</t>
  </si>
  <si>
    <t>Liczba z Pracownik</t>
  </si>
  <si>
    <t>Nowacki Jerzy</t>
  </si>
  <si>
    <t>Przedział wiekowy</t>
  </si>
  <si>
    <t>25-35</t>
  </si>
  <si>
    <t>36-45</t>
  </si>
  <si>
    <t>46-55</t>
  </si>
  <si>
    <t>Roman Radosław</t>
  </si>
  <si>
    <t>Piotrowska Magdalena</t>
  </si>
  <si>
    <t>Pracownik fizyczny/umysłowy</t>
  </si>
  <si>
    <t>umysłowy</t>
  </si>
  <si>
    <t>fizyczny</t>
  </si>
  <si>
    <t>Typ</t>
  </si>
  <si>
    <t>Radowska Patrycja</t>
  </si>
  <si>
    <t>Baranowski Grzegorz</t>
  </si>
  <si>
    <t>55+</t>
  </si>
  <si>
    <t>18-25</t>
  </si>
  <si>
    <t>Płeć</t>
  </si>
  <si>
    <t>05320166557</t>
  </si>
  <si>
    <t>78120344555</t>
  </si>
  <si>
    <t>83120744557</t>
  </si>
  <si>
    <t>93020944558</t>
  </si>
  <si>
    <t>66052277997</t>
  </si>
  <si>
    <t>96100844554</t>
  </si>
  <si>
    <t>02250155668</t>
  </si>
  <si>
    <t>94050688553</t>
  </si>
  <si>
    <t>FGŚP/FP</t>
  </si>
  <si>
    <t>Chylewska Izabela</t>
  </si>
  <si>
    <t>02210111554</t>
  </si>
  <si>
    <t>Sarnowski Mateusz</t>
  </si>
  <si>
    <t>85091455663</t>
  </si>
  <si>
    <t>kasjer</t>
  </si>
  <si>
    <t>Lewandowska Grażyna</t>
  </si>
  <si>
    <t>72050422356</t>
  </si>
  <si>
    <t>Dzień</t>
  </si>
  <si>
    <t>Miesiąc</t>
  </si>
  <si>
    <t>Rok</t>
  </si>
  <si>
    <t>Paprykowski Adam</t>
  </si>
  <si>
    <t>85070122553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</si>
  <si>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</si>
  <si>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</si>
  <si>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</si>
  <si>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</si>
  <si>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</si>
  <si>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</si>
  <si>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</si>
  <si>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</si>
  <si>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</si>
  <si>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2024</t>
  </si>
  <si>
    <t>2023</t>
  </si>
  <si>
    <t>2022</t>
  </si>
  <si>
    <t>2021</t>
  </si>
  <si>
    <t>2020</t>
  </si>
  <si>
    <t>2019</t>
  </si>
  <si>
    <t>2018</t>
  </si>
  <si>
    <t>2017</t>
  </si>
  <si>
    <t>2016</t>
  </si>
  <si>
    <t>2015</t>
  </si>
  <si>
    <t>2014</t>
  </si>
  <si>
    <t>2013</t>
  </si>
  <si>
    <t>2012</t>
  </si>
  <si>
    <t>2011</t>
  </si>
  <si>
    <t>2010</t>
  </si>
  <si>
    <t>2009</t>
  </si>
  <si>
    <t>2008</t>
  </si>
  <si>
    <t>2007</t>
  </si>
  <si>
    <t>2006</t>
  </si>
  <si>
    <t>2005</t>
  </si>
  <si>
    <t>2004</t>
  </si>
  <si>
    <t>2003</t>
  </si>
  <si>
    <t>2002</t>
  </si>
  <si>
    <t>2001</t>
  </si>
  <si>
    <t>2000</t>
  </si>
  <si>
    <t>1999</t>
  </si>
  <si>
    <t>1998</t>
  </si>
  <si>
    <t>1997</t>
  </si>
  <si>
    <t>1996</t>
  </si>
  <si>
    <t>1995</t>
  </si>
  <si>
    <t>1994</t>
  </si>
  <si>
    <t>1993</t>
  </si>
  <si>
    <t>1992</t>
  </si>
  <si>
    <t>1991</t>
  </si>
  <si>
    <t>1990</t>
  </si>
  <si>
    <t>Januszewski Marek</t>
  </si>
  <si>
    <t>78050611225</t>
  </si>
  <si>
    <t>Składka emerytalna pracownika</t>
  </si>
  <si>
    <t xml:space="preserve">Składka chorobowa </t>
  </si>
  <si>
    <t>Składka rentowa pracownika</t>
  </si>
  <si>
    <t>Składka emerytalna pracodawcy</t>
  </si>
  <si>
    <t>Składka rentowa pracodawcy</t>
  </si>
  <si>
    <t>Składki pracodawcy razem</t>
  </si>
  <si>
    <t>Razem koszty</t>
  </si>
  <si>
    <t>Kowalska Irena</t>
  </si>
  <si>
    <t>67050122556</t>
  </si>
  <si>
    <t>01.01.2021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</si>
</sst>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zł&quot;_-;\-* #,##0.00\ &quot;zł&quot;_-;_-* &quot;-&quot;??\ &quot;zł&quot;_-;_-@_-"/>
    <numFmt numFmtId="43" formatCode="_-* #,##0.00_-;\-* #,##0.00_-;_-* &quot;-&quot;??_-;_-@_-"/>
    <numFmt numFmtId="164" formatCode="_-* #,##0\ &quot;zł&quot;_-;\-* #,##0\ &quot;zł&quot;_-;_-* &quot;-&quot;??\ &quot;zł&quot;_-;_-@_-"/>
    <numFmt numFmtId="167" formatCode="_-* #,##0_-;\-* #,##0_-;_-* &quot;-&quot;??_-;_-@_-"/>
  </numFmts>
  <fonts count="7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8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double">
        <color theme="0" tint="-0.499984740745262"/>
      </bottom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 style="double">
        <color theme="0" tint="-0.499984740745262"/>
      </top>
      <bottom style="double">
        <color theme="0" tint="-0.49998474074526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 wrapText="1"/>
    </xf>
    <xf numFmtId="2" fontId="0" fillId="0" borderId="0" xfId="0" applyNumberFormat="1"/>
    <xf numFmtId="1" fontId="0" fillId="0" borderId="0" xfId="0" applyNumberFormat="1"/>
    <xf numFmtId="49" fontId="0" fillId="0" borderId="0" xfId="0" applyNumberFormat="1" applyAlignment="1">
      <alignment horizontal="center" vertical="center" wrapText="1"/>
    </xf>
    <xf numFmtId="49" fontId="0" fillId="0" borderId="0" xfId="0" applyNumberFormat="1"/>
    <xf numFmtId="43" fontId="0" fillId="0" borderId="0" xfId="1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3" fillId="0" borderId="0" xfId="0" applyFont="1"/>
    <xf numFmtId="43" fontId="3" fillId="0" borderId="0" xfId="1" applyFont="1"/>
    <xf numFmtId="0" fontId="4" fillId="0" borderId="0" xfId="0" applyFont="1"/>
    <xf numFmtId="43" fontId="4" fillId="0" borderId="0" xfId="1" applyFont="1"/>
    <xf numFmtId="0" fontId="3" fillId="0" borderId="0" xfId="0" applyFont="1" applyAlignment="1">
      <alignment vertical="center"/>
    </xf>
    <xf numFmtId="14" fontId="0" fillId="0" borderId="0" xfId="0" applyNumberForma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1" xfId="0" applyBorder="1"/>
    <xf numFmtId="0" fontId="3" fillId="0" borderId="2" xfId="0" applyFont="1" applyBorder="1" applyAlignment="1">
      <alignment horizontal="center"/>
    </xf>
    <xf numFmtId="43" fontId="0" fillId="0" borderId="3" xfId="1" applyFont="1" applyBorder="1"/>
    <xf numFmtId="0" fontId="0" fillId="2" borderId="4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4" fontId="0" fillId="0" borderId="0" xfId="2" applyFont="1" applyAlignment="1">
      <alignment horizontal="center" vertical="center"/>
    </xf>
    <xf numFmtId="44" fontId="0" fillId="0" borderId="0" xfId="2" applyFont="1"/>
    <xf numFmtId="49" fontId="0" fillId="0" borderId="0" xfId="0" applyNumberFormat="1" applyAlignment="1">
      <alignment horizontal="center" vertical="center"/>
    </xf>
    <xf numFmtId="1" fontId="0" fillId="0" borderId="0" xfId="2" applyNumberFormat="1" applyFont="1" applyAlignment="1">
      <alignment horizontal="left"/>
    </xf>
    <xf numFmtId="1" fontId="0" fillId="0" borderId="0" xfId="2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3" fontId="0" fillId="0" borderId="0" xfId="1" applyFont="1" applyAlignment="1">
      <alignment horizontal="center" vertical="center" wrapText="1"/>
    </xf>
    <xf numFmtId="0" fontId="3" fillId="0" borderId="0" xfId="0" applyFont="1" applyAlignment="1">
      <alignment horizontal="right"/>
    </xf>
    <xf numFmtId="43" fontId="4" fillId="0" borderId="0" xfId="1" applyFont="1" applyAlignment="1">
      <alignment horizontal="center" vertical="center" wrapText="1"/>
    </xf>
    <xf numFmtId="43" fontId="3" fillId="0" borderId="0" xfId="1" applyFont="1" applyAlignment="1">
      <alignment horizontal="center" vertical="center" wrapText="1"/>
    </xf>
    <xf numFmtId="43" fontId="5" fillId="0" borderId="0" xfId="1" applyFont="1"/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NumberFormat="1"/>
    <xf numFmtId="43" fontId="4" fillId="0" borderId="0" xfId="1" applyNumberFormat="1" applyFont="1"/>
    <xf numFmtId="43" fontId="5" fillId="0" borderId="0" xfId="1" applyNumberFormat="1" applyFont="1"/>
    <xf numFmtId="167" fontId="0" fillId="0" borderId="0" xfId="0" applyNumberFormat="1"/>
  </cellXfs>
  <cellStyles count="3">
    <cellStyle name="Dziesiętny" xfId="1" builtinId="3"/>
    <cellStyle name="Normalny" xfId="0" builtinId="0"/>
    <cellStyle name="Walutowy" xfId="2" builtinId="4"/>
  </cellStyles>
  <dxfs count="61">
    <dxf>
      <numFmt numFmtId="167" formatCode="_-* #,##0_-;\-* #,##0_-;_-* &quot;-&quot;??_-;_-@_-"/>
    </dxf>
    <dxf>
      <numFmt numFmtId="165" formatCode="_-* #,##0.00\ [$zł-415]_-;\-* #,##0.00\ [$zł-415]_-;_-* &quot;-&quot;??\ [$zł-415]_-;_-@_-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1" formatCode="0"/>
      <alignment horizontal="left" textRotation="0" wrapText="0" indent="0" justifyLastLine="0" shrinkToFit="0" readingOrder="0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30" formatCode="@"/>
    </dxf>
    <dxf>
      <alignment horizontal="center" vertical="center" textRotation="0" wrapText="0" indent="0" justifyLastLine="0" shrinkToFit="0" readingOrder="0"/>
    </dxf>
    <dxf>
      <numFmt numFmtId="164" formatCode="_-* #,##0\ &quot;zł&quot;_-;\-* #,##0\ &quot;zł&quot;_-;_-* &quot;-&quot;??\ &quot;zł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 val="0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 val="0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 val="0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 val="0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 val="0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35" formatCode="_-* #,##0.00_-;\-* #,##0.00_-;_-* &quot;-&quot;??_-;_-@_-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</dxf>
    <dxf>
      <numFmt numFmtId="19" formatCode="dd/mm/yyyy"/>
      <alignment horizontal="right" textRotation="0" indent="0" justifyLastLine="0" shrinkToFit="0" readingOrder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 - Kadry i płace (4).xlsm]Wykresy!Tabela przestawna1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cap="none" spc="100" baseline="0"/>
              <a:t>Średnie wynagrodzenie wg stanowisk</a:t>
            </a:r>
            <a:endParaRPr lang="en-US" sz="1400" cap="none" spc="10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#,##0\ &quot;zł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Wykresy!$B$1</c:f>
              <c:strCache>
                <c:ptCount val="1"/>
                <c:pt idx="0">
                  <c:v>Suma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\ &quot;zł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Wykresy!$A$2:$A$12</c:f>
              <c:strCache>
                <c:ptCount val="10"/>
                <c:pt idx="0">
                  <c:v>prezes</c:v>
                </c:pt>
                <c:pt idx="1">
                  <c:v>kierownik handlu</c:v>
                </c:pt>
                <c:pt idx="2">
                  <c:v>kierownik produkcji</c:v>
                </c:pt>
                <c:pt idx="3">
                  <c:v>specjalista ds. kadr</c:v>
                </c:pt>
                <c:pt idx="4">
                  <c:v>księgowy</c:v>
                </c:pt>
                <c:pt idx="5">
                  <c:v>laborant</c:v>
                </c:pt>
                <c:pt idx="6">
                  <c:v>kasjer</c:v>
                </c:pt>
                <c:pt idx="7">
                  <c:v>mechanik</c:v>
                </c:pt>
                <c:pt idx="8">
                  <c:v>magazynier</c:v>
                </c:pt>
                <c:pt idx="9">
                  <c:v>pracownik produkcji</c:v>
                </c:pt>
              </c:strCache>
            </c:strRef>
          </c:cat>
          <c:val>
            <c:numRef>
              <c:f>Wykresy!$B$2:$B$12</c:f>
              <c:numCache>
                <c:formatCode>_-* #.##0_-;\-* #.##0_-;_-* "-"??_-;_-@_-</c:formatCode>
                <c:ptCount val="10"/>
                <c:pt idx="0">
                  <c:v>15000</c:v>
                </c:pt>
                <c:pt idx="1">
                  <c:v>7000</c:v>
                </c:pt>
                <c:pt idx="2">
                  <c:v>7000</c:v>
                </c:pt>
                <c:pt idx="3">
                  <c:v>5800</c:v>
                </c:pt>
                <c:pt idx="4">
                  <c:v>5750</c:v>
                </c:pt>
                <c:pt idx="5">
                  <c:v>5500</c:v>
                </c:pt>
                <c:pt idx="6">
                  <c:v>5000</c:v>
                </c:pt>
                <c:pt idx="7">
                  <c:v>4925</c:v>
                </c:pt>
                <c:pt idx="8">
                  <c:v>4775</c:v>
                </c:pt>
                <c:pt idx="9">
                  <c:v>4720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6E-4009-B442-3D6D4BE42BF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1083349328"/>
        <c:axId val="1083348848"/>
      </c:barChart>
      <c:catAx>
        <c:axId val="108334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3348848"/>
        <c:crosses val="autoZero"/>
        <c:auto val="1"/>
        <c:lblAlgn val="ctr"/>
        <c:lblOffset val="100"/>
        <c:noMultiLvlLbl val="0"/>
      </c:catAx>
      <c:valAx>
        <c:axId val="1083348848"/>
        <c:scaling>
          <c:orientation val="minMax"/>
        </c:scaling>
        <c:delete val="0"/>
        <c:axPos val="l"/>
        <c:numFmt formatCode="_-* #.##0_-;\-* #.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334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 - Kadry i płace (4).xlsm]Wykresy!Tabela przestawna2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cap="none" spc="100" baseline="0"/>
              <a:t>Liczba pracowników wg stanowisk</a:t>
            </a:r>
            <a:endParaRPr lang="en-US" sz="1400" cap="none" spc="10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Wykresy!$B$18</c:f>
              <c:strCache>
                <c:ptCount val="1"/>
                <c:pt idx="0">
                  <c:v>Suma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Wykresy!$A$19:$A$29</c:f>
              <c:strCache>
                <c:ptCount val="10"/>
                <c:pt idx="0">
                  <c:v>pracownik produkcji</c:v>
                </c:pt>
                <c:pt idx="1">
                  <c:v>magazynier</c:v>
                </c:pt>
                <c:pt idx="2">
                  <c:v>mechanik</c:v>
                </c:pt>
                <c:pt idx="3">
                  <c:v>laborant</c:v>
                </c:pt>
                <c:pt idx="4">
                  <c:v>księgowy</c:v>
                </c:pt>
                <c:pt idx="5">
                  <c:v>prezes</c:v>
                </c:pt>
                <c:pt idx="6">
                  <c:v>specjalista ds. kadr</c:v>
                </c:pt>
                <c:pt idx="7">
                  <c:v>kierownik handlu</c:v>
                </c:pt>
                <c:pt idx="8">
                  <c:v>kierownik produkcji</c:v>
                </c:pt>
                <c:pt idx="9">
                  <c:v>kasjer</c:v>
                </c:pt>
              </c:strCache>
            </c:strRef>
          </c:cat>
          <c:val>
            <c:numRef>
              <c:f>Wykresy!$B$19:$B$29</c:f>
              <c:numCache>
                <c:formatCode>General</c:formatCode>
                <c:ptCount val="10"/>
                <c:pt idx="0">
                  <c:v>10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B-4AD8-9703-12EC0FB8F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089764240"/>
        <c:axId val="1089753680"/>
      </c:barChart>
      <c:catAx>
        <c:axId val="108976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9753680"/>
        <c:crosses val="autoZero"/>
        <c:auto val="1"/>
        <c:lblAlgn val="ctr"/>
        <c:lblOffset val="100"/>
        <c:noMultiLvlLbl val="0"/>
      </c:catAx>
      <c:valAx>
        <c:axId val="1089753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976424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 - Kadry i płace (4).xlsm]Wykresy!Tabela przestawna5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cap="none" spc="110" baseline="0"/>
              <a:t>Liczba pracowników wg wieku</a:t>
            </a:r>
            <a:endParaRPr lang="en-US" sz="1400" cap="none" spc="11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Wykresy!$B$38</c:f>
              <c:strCache>
                <c:ptCount val="1"/>
                <c:pt idx="0">
                  <c:v>Suma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Wykresy!$A$39:$A$44</c:f>
              <c:strCache>
                <c:ptCount val="5"/>
                <c:pt idx="0">
                  <c:v>18-25</c:v>
                </c:pt>
                <c:pt idx="1">
                  <c:v>25-35</c:v>
                </c:pt>
                <c:pt idx="2">
                  <c:v>36-45</c:v>
                </c:pt>
                <c:pt idx="3">
                  <c:v>46-55</c:v>
                </c:pt>
                <c:pt idx="4">
                  <c:v>55+</c:v>
                </c:pt>
              </c:strCache>
            </c:strRef>
          </c:cat>
          <c:val>
            <c:numRef>
              <c:f>Wykresy!$B$39:$B$44</c:f>
              <c:numCache>
                <c:formatCode>General</c:formatCode>
                <c:ptCount val="5"/>
                <c:pt idx="0">
                  <c:v>3</c:v>
                </c:pt>
                <c:pt idx="1">
                  <c:v>9</c:v>
                </c:pt>
                <c:pt idx="2">
                  <c:v>8</c:v>
                </c:pt>
                <c:pt idx="3">
                  <c:v>2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E2-4552-A67E-BD06568CE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96616848"/>
        <c:axId val="196621648"/>
      </c:barChart>
      <c:catAx>
        <c:axId val="19661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621648"/>
        <c:crosses val="autoZero"/>
        <c:auto val="1"/>
        <c:lblAlgn val="ctr"/>
        <c:lblOffset val="100"/>
        <c:noMultiLvlLbl val="0"/>
      </c:catAx>
      <c:valAx>
        <c:axId val="196621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61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 - Kadry i płace (4).xlsm]Wykresy!Tabela przestawna3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cap="none" spc="110" baseline="0"/>
              <a:t>Liczba pracowników wg rodzaju stanowiska</a:t>
            </a:r>
            <a:endParaRPr lang="en-US" sz="1400" cap="none" spc="11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Wykresy!$B$49</c:f>
              <c:strCache>
                <c:ptCount val="1"/>
                <c:pt idx="0">
                  <c:v>Suma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Wykresy!$A$50:$A$52</c:f>
              <c:strCache>
                <c:ptCount val="2"/>
                <c:pt idx="0">
                  <c:v>fizyczny</c:v>
                </c:pt>
                <c:pt idx="1">
                  <c:v>umysłowy</c:v>
                </c:pt>
              </c:strCache>
            </c:strRef>
          </c:cat>
          <c:val>
            <c:numRef>
              <c:f>Wykresy!$B$50:$B$52</c:f>
              <c:numCache>
                <c:formatCode>General</c:formatCode>
                <c:ptCount val="2"/>
                <c:pt idx="0">
                  <c:v>18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7-4CE5-AB5E-FD4EB5E75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45117487"/>
        <c:axId val="145124207"/>
      </c:barChart>
      <c:catAx>
        <c:axId val="14511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5124207"/>
        <c:crosses val="autoZero"/>
        <c:auto val="1"/>
        <c:lblAlgn val="ctr"/>
        <c:lblOffset val="100"/>
        <c:noMultiLvlLbl val="0"/>
      </c:catAx>
      <c:valAx>
        <c:axId val="1451242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511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[Projekt - Kadry i płace (4).xlsm]Wykresy!Tabela przestawna6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cap="none" spc="110" baseline="0"/>
              <a:t>Średnie wynagrodzenie wg rodzaju stanowiska</a:t>
            </a:r>
            <a:endParaRPr lang="en-US" sz="1400" cap="none" spc="11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#,##0\ &quot;zł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Wykresy!$B$64</c:f>
              <c:strCache>
                <c:ptCount val="1"/>
                <c:pt idx="0">
                  <c:v>Suma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\ &quot;zł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Wykresy!$A$65:$A$67</c:f>
              <c:strCache>
                <c:ptCount val="2"/>
                <c:pt idx="0">
                  <c:v>fizyczny</c:v>
                </c:pt>
                <c:pt idx="1">
                  <c:v>umysłowy</c:v>
                </c:pt>
              </c:strCache>
            </c:strRef>
          </c:cat>
          <c:val>
            <c:numRef>
              <c:f>Wykresy!$B$65:$B$67</c:f>
              <c:numCache>
                <c:formatCode>_-* #\ ##0\ "zł"_-;\-* #\ ##0\ "zł"_-;_-* "-"??\ "zł"_-;_-@_-</c:formatCode>
                <c:ptCount val="2"/>
                <c:pt idx="0">
                  <c:v>4777.7777777777774</c:v>
                </c:pt>
                <c:pt idx="1">
                  <c:v>6922.2222222222226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77-4BA2-A146-D30C0F5C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960686543"/>
        <c:axId val="960690383"/>
      </c:barChart>
      <c:catAx>
        <c:axId val="960686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60690383"/>
        <c:crosses val="autoZero"/>
        <c:auto val="1"/>
        <c:lblAlgn val="ctr"/>
        <c:lblOffset val="100"/>
        <c:noMultiLvlLbl val="0"/>
      </c:catAx>
      <c:valAx>
        <c:axId val="960690383"/>
        <c:scaling>
          <c:orientation val="minMax"/>
        </c:scaling>
        <c:delete val="0"/>
        <c:axPos val="l"/>
        <c:numFmt formatCode="_-* #\ ##0\ &quot;zł&quot;_-;\-* #\ ##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60686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orientation="portrait" useFirstPageNumber="1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83820</xdr:rowOff>
        </xdr:from>
        <xdr:to>
          <xdr:col>0</xdr:col>
          <xdr:colOff>1097280</xdr:colOff>
          <xdr:row>1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Dodaj pracownika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7620</xdr:rowOff>
        </xdr:from>
        <xdr:to>
          <xdr:col>0</xdr:col>
          <xdr:colOff>1089660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Usuń pracownika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121920</xdr:colOff>
          <xdr:row>16</xdr:row>
          <xdr:rowOff>114300</xdr:rowOff>
        </xdr:from>
        <xdr:to>
          <xdr:col>7</xdr:col>
          <xdr:colOff>1607820</xdr:colOff>
          <xdr:row>18</xdr:row>
          <xdr:rowOff>160020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Drukuj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457198</xdr:colOff>
      <xdr:row>1</xdr:row>
      <xdr:rowOff>47625</xdr:rowOff>
    </xdr:from>
    <xdr:to>
      <xdr:col>14</xdr:col>
      <xdr:colOff>480058</xdr:colOff>
      <xdr:row>15</xdr:row>
      <xdr:rowOff>154305</xdr:rowOff>
    </xdr:to>
    <xdr:graphicFrame macro="">
      <xdr:nvGraphicFramePr>
        <xdr:cNvPr id="2" name="WykresSrednieWynagrodzenieStanowisk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457197</xdr:colOff>
      <xdr:row>16</xdr:row>
      <xdr:rowOff>138112</xdr:rowOff>
    </xdr:from>
    <xdr:to>
      <xdr:col>14</xdr:col>
      <xdr:colOff>480057</xdr:colOff>
      <xdr:row>31</xdr:row>
      <xdr:rowOff>49212</xdr:rowOff>
    </xdr:to>
    <xdr:graphicFrame macro="">
      <xdr:nvGraphicFramePr>
        <xdr:cNvPr id="3" name="WykresLiczbaPracownikowWgStanowisk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</xdr:colOff>
          <xdr:row>1</xdr:row>
          <xdr:rowOff>45720</xdr:rowOff>
        </xdr:from>
        <xdr:to>
          <xdr:col>17</xdr:col>
          <xdr:colOff>198120</xdr:colOff>
          <xdr:row>4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Odśwież wykresy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457197</xdr:colOff>
      <xdr:row>32</xdr:row>
      <xdr:rowOff>33337</xdr:rowOff>
    </xdr:from>
    <xdr:to>
      <xdr:col>14</xdr:col>
      <xdr:colOff>480057</xdr:colOff>
      <xdr:row>46</xdr:row>
      <xdr:rowOff>140017</xdr:rowOff>
    </xdr:to>
    <xdr:graphicFrame macro="">
      <xdr:nvGraphicFramePr>
        <xdr:cNvPr id="6" name="WykresLiczbaPracownikowWgWieku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</xdr:colOff>
          <xdr:row>5</xdr:row>
          <xdr:rowOff>45720</xdr:rowOff>
        </xdr:from>
        <xdr:to>
          <xdr:col>17</xdr:col>
          <xdr:colOff>198120</xdr:colOff>
          <xdr:row>8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Drukuj wykresy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485773</xdr:colOff>
      <xdr:row>47</xdr:row>
      <xdr:rowOff>42862</xdr:rowOff>
    </xdr:from>
    <xdr:to>
      <xdr:col>14</xdr:col>
      <xdr:colOff>508633</xdr:colOff>
      <xdr:row>61</xdr:row>
      <xdr:rowOff>149542</xdr:rowOff>
    </xdr:to>
    <xdr:graphicFrame macro="">
      <xdr:nvGraphicFramePr>
        <xdr:cNvPr id="4" name="WykresRodzajeStanowisk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504823</xdr:colOff>
      <xdr:row>62</xdr:row>
      <xdr:rowOff>176212</xdr:rowOff>
    </xdr:from>
    <xdr:to>
      <xdr:col>14</xdr:col>
      <xdr:colOff>527683</xdr:colOff>
      <xdr:row>77</xdr:row>
      <xdr:rowOff>87312</xdr:rowOff>
    </xdr:to>
    <xdr:graphicFrame macro="">
      <xdr:nvGraphicFramePr>
        <xdr:cNvPr id="5" name="WykresSrednieWynagrodzenieWgRodzajuStanowiska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</xdr:colOff>
          <xdr:row>9</xdr:row>
          <xdr:rowOff>45720</xdr:rowOff>
        </xdr:from>
        <xdr:to>
          <xdr:col>17</xdr:col>
          <xdr:colOff>198120</xdr:colOff>
          <xdr:row>12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Zapisz wykresy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 do obrazu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" refreshedDate="45393.58841689815" createdVersion="8" refreshedVersion="8" minRefreshableVersion="3" recordCount="27" xr:uid="{7EDA5F6A-0B51-4CFD-9FE5-F179010F74EB}">
  <cacheSource type="worksheet">
    <worksheetSource name="Tabela1"/>
  </cacheSource>
  <cacheFields count="12">
    <cacheField name="Lp" numFmtId="0">
      <sharedItems containsSemiMixedTypes="0" containsString="0" containsNumber="1" containsInteger="1" minValue="1" maxValue="27"/>
    </cacheField>
    <cacheField name="Pracownik" numFmtId="49">
      <sharedItems/>
    </cacheField>
    <cacheField name="Stanowisko" numFmtId="49">
      <sharedItems count="11">
        <s v="magazynier"/>
        <s v="księgowy"/>
        <s v="pracownik produkcji"/>
        <s v="mechanik"/>
        <s v="laborant"/>
        <s v="kasjer"/>
        <s v="prezes"/>
        <s v="kierownik produkcji"/>
        <s v="specjalista ds. kadr"/>
        <s v="kierownik handlu"/>
        <s v="księgowa" u="1"/>
      </sharedItems>
    </cacheField>
    <cacheField name="PESEL" numFmtId="49">
      <sharedItems containsMixedTypes="1" containsNumber="1" containsInteger="1" minValue="62010122556" maxValue="95080611223"/>
    </cacheField>
    <cacheField name="Data urodzenia" numFmtId="14">
      <sharedItems containsSemiMixedTypes="0" containsNonDate="0" containsDate="1" containsString="0" minDate="1962-01-01T00:00:00" maxDate="2005-12-02T00:00:00"/>
    </cacheField>
    <cacheField name="Data zatrudnienia" numFmtId="14">
      <sharedItems containsDate="1" containsMixedTypes="1" minDate="1995-09-01T00:00:00" maxDate="2024-03-07T00:00:00"/>
    </cacheField>
    <cacheField name="Staż [dni]" numFmtId="1">
      <sharedItems containsSemiMixedTypes="0" containsString="0" containsNumber="1" containsInteger="1" minValue="36" maxValue="10450"/>
    </cacheField>
    <cacheField name="Wynagrodzenie" numFmtId="43">
      <sharedItems containsSemiMixedTypes="0" containsString="0" containsNumber="1" containsInteger="1" minValue="4500" maxValue="15000"/>
    </cacheField>
    <cacheField name="Czy zwiększone koszty?" numFmtId="0">
      <sharedItems/>
    </cacheField>
    <cacheField name="Czy ulga podatkowa?" numFmtId="1">
      <sharedItems/>
    </cacheField>
    <cacheField name="Ubezpieczenie" numFmtId="43">
      <sharedItems containsSemiMixedTypes="0" containsString="0" containsNumber="1" containsInteger="1" minValue="0" maxValue="120"/>
    </cacheField>
    <cacheField name="Wiek" numFmtId="1">
      <sharedItems containsSemiMixedTypes="0" containsString="0" containsNumber="1" containsInteger="1" minValue="18" maxValue="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" refreshedDate="45393.588420023145" createdVersion="8" refreshedVersion="8" minRefreshableVersion="3" recordCount="27" xr:uid="{14B8CADC-3C81-4C35-81EB-204D197DB196}">
  <cacheSource type="worksheet">
    <worksheetSource name="Tabela4"/>
  </cacheSource>
  <cacheFields count="10">
    <cacheField name="Lp" numFmtId="0">
      <sharedItems containsSemiMixedTypes="0" containsString="0" containsNumber="1" containsInteger="1" minValue="1" maxValue="27"/>
    </cacheField>
    <cacheField name="Pracownik" numFmtId="49">
      <sharedItems/>
    </cacheField>
    <cacheField name="Wiek" numFmtId="1">
      <sharedItems containsSemiMixedTypes="0" containsString="0" containsNumber="1" containsInteger="1" minValue="18" maxValue="62"/>
    </cacheField>
    <cacheField name="Przedział wiekowy" numFmtId="0">
      <sharedItems count="7">
        <s v="25-35"/>
        <s v="55+"/>
        <s v="18-25"/>
        <s v="36-45"/>
        <s v="46-55"/>
        <s v="powyżej 55" u="1"/>
        <s v="do 25" u="1"/>
      </sharedItems>
    </cacheField>
    <cacheField name="Stanowisko" numFmtId="0">
      <sharedItems/>
    </cacheField>
    <cacheField name="Pracownik fizyczny/umysłowy" numFmtId="0">
      <sharedItems count="2">
        <s v="fizyczny"/>
        <s v="umysłowy"/>
      </sharedItems>
    </cacheField>
    <cacheField name="Wynagrodzenie" numFmtId="44">
      <sharedItems containsSemiMixedTypes="0" containsString="0" containsNumber="1" containsInteger="1" minValue="4500" maxValue="15000"/>
    </cacheField>
    <cacheField name="PESEL" numFmtId="1">
      <sharedItems containsMixedTypes="1" containsNumber="1" containsInteger="1" minValue="62010122556" maxValue="95080611223"/>
    </cacheField>
    <cacheField name="Płeć" numFmtId="0">
      <sharedItems/>
    </cacheField>
    <cacheField name="FGŚP/FP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n v="1"/>
    <s v="Adamska Wioleta"/>
    <x v="0"/>
    <n v="89070122558"/>
    <d v="1989-07-01T00:00:00"/>
    <d v="2005-01-01T00:00:00"/>
    <n v="7040"/>
    <n v="4600"/>
    <s v="NIE"/>
    <s v="TAK"/>
    <n v="60"/>
    <n v="34"/>
  </r>
  <r>
    <n v="2"/>
    <s v="Baczyńska Halina"/>
    <x v="1"/>
    <n v="67110122558"/>
    <d v="1967-11-01T00:00:00"/>
    <d v="1998-01-01T00:00:00"/>
    <n v="9597"/>
    <n v="5500"/>
    <s v="TAK"/>
    <s v="TAK"/>
    <n v="60"/>
    <n v="56"/>
  </r>
  <r>
    <n v="3"/>
    <s v="Baranowski Grzegorz"/>
    <x v="2"/>
    <s v="05320166557"/>
    <d v="2005-12-01T00:00:00"/>
    <d v="2024-01-01T00:00:00"/>
    <n v="101"/>
    <n v="4800"/>
    <s v="TAK"/>
    <s v="TAK"/>
    <n v="60"/>
    <n v="18"/>
  </r>
  <r>
    <n v="4"/>
    <s v="Chylewska Izabela"/>
    <x v="0"/>
    <s v="02210111554"/>
    <d v="2002-01-01T00:00:00"/>
    <d v="2024-02-01T00:00:00"/>
    <n v="70"/>
    <n v="4800"/>
    <s v="TAK"/>
    <s v="TAK"/>
    <n v="60"/>
    <n v="22"/>
  </r>
  <r>
    <n v="5"/>
    <s v="Dudek Hanna"/>
    <x v="2"/>
    <n v="93050122556"/>
    <d v="1993-05-01T00:00:00"/>
    <d v="2018-01-01T00:00:00"/>
    <n v="2292"/>
    <n v="4600"/>
    <s v="NIE"/>
    <s v="TAK"/>
    <n v="0"/>
    <n v="30"/>
  </r>
  <r>
    <n v="6"/>
    <s v="Frankowski Franciszek"/>
    <x v="2"/>
    <s v="78120344555"/>
    <d v="1978-12-03T00:00:00"/>
    <d v="2000-01-01T00:00:00"/>
    <n v="8867"/>
    <n v="4500"/>
    <s v="TAK"/>
    <s v="TAK"/>
    <n v="60"/>
    <n v="45"/>
  </r>
  <r>
    <n v="7"/>
    <s v="Głowacki Ryszard"/>
    <x v="3"/>
    <n v="72090188665"/>
    <d v="1972-09-01T00:00:00"/>
    <d v="2000-05-01T00:00:00"/>
    <n v="8746"/>
    <n v="5000"/>
    <s v="NIE"/>
    <s v="TAK"/>
    <n v="0"/>
    <n v="51"/>
  </r>
  <r>
    <n v="8"/>
    <s v="Górski Patryk"/>
    <x v="4"/>
    <n v="92060155663"/>
    <d v="1992-06-01T00:00:00"/>
    <d v="2022-01-01T00:00:00"/>
    <n v="831"/>
    <n v="5500"/>
    <s v="NIE"/>
    <s v="TAK"/>
    <n v="60"/>
    <n v="31"/>
  </r>
  <r>
    <n v="9"/>
    <s v="Januszewski Marek"/>
    <x v="3"/>
    <s v="78050611225"/>
    <d v="1978-05-06T00:00:00"/>
    <d v="2004-05-01T00:00:00"/>
    <n v="7285"/>
    <n v="4900"/>
    <s v="NIE"/>
    <s v="TAK"/>
    <n v="60"/>
    <n v="45"/>
  </r>
  <r>
    <n v="10"/>
    <s v="Kowalska Ewa"/>
    <x v="1"/>
    <n v="88111022336"/>
    <d v="1988-11-10T00:00:00"/>
    <d v="2024-03-06T00:00:00"/>
    <n v="36"/>
    <n v="6000"/>
    <s v="TAK"/>
    <s v="TAK"/>
    <n v="60"/>
    <n v="35"/>
  </r>
  <r>
    <n v="11"/>
    <s v="Kowalska Irena"/>
    <x v="2"/>
    <s v="67050122556"/>
    <d v="1967-05-01T00:00:00"/>
    <s v="01.01.2021"/>
    <n v="1196"/>
    <n v="4800"/>
    <s v="NIE"/>
    <s v="TAK"/>
    <n v="60"/>
    <n v="56"/>
  </r>
  <r>
    <n v="12"/>
    <s v="Kowalski Paweł"/>
    <x v="4"/>
    <s v="83120744557"/>
    <d v="1983-12-07T00:00:00"/>
    <d v="2020-02-20T00:00:00"/>
    <n v="1512"/>
    <n v="5500"/>
    <s v="TAK"/>
    <s v="TAK"/>
    <n v="120"/>
    <n v="40"/>
  </r>
  <r>
    <n v="13"/>
    <s v="Krakowska Natalia"/>
    <x v="2"/>
    <s v="93020944558"/>
    <d v="1993-02-09T00:00:00"/>
    <d v="2021-10-01T00:00:00"/>
    <n v="923"/>
    <n v="4700"/>
    <s v="TAK"/>
    <s v="TAK"/>
    <n v="60"/>
    <n v="31"/>
  </r>
  <r>
    <n v="14"/>
    <s v="Lewandowska Grażyna"/>
    <x v="5"/>
    <s v="72050422356"/>
    <d v="1972-05-04T00:00:00"/>
    <d v="2000-01-01T00:00:00"/>
    <n v="8867"/>
    <n v="5000"/>
    <s v="TAK"/>
    <s v="TAK"/>
    <n v="60"/>
    <n v="51"/>
  </r>
  <r>
    <n v="15"/>
    <s v="Malinowski Henryk"/>
    <x v="3"/>
    <n v="94050277551"/>
    <d v="1994-05-02T00:00:00"/>
    <d v="2023-04-06T00:00:00"/>
    <n v="371"/>
    <n v="5000"/>
    <s v="NIE"/>
    <s v="TAK"/>
    <n v="60"/>
    <n v="29"/>
  </r>
  <r>
    <n v="16"/>
    <s v="Michalska Teresa"/>
    <x v="2"/>
    <n v="62010122556"/>
    <d v="1962-01-01T00:00:00"/>
    <d v="2002-02-01T00:00:00"/>
    <n v="8105"/>
    <n v="4800"/>
    <s v="TAK"/>
    <s v="NIE"/>
    <n v="120"/>
    <n v="62"/>
  </r>
  <r>
    <n v="17"/>
    <s v="Nowacki Jerzy"/>
    <x v="2"/>
    <n v="95080611223"/>
    <d v="1995-08-06T00:00:00"/>
    <d v="2005-05-01T00:00:00"/>
    <n v="6920"/>
    <n v="4700"/>
    <s v="TAK"/>
    <s v="TAK"/>
    <n v="0"/>
    <n v="28"/>
  </r>
  <r>
    <n v="18"/>
    <s v="Nowak Jan"/>
    <x v="6"/>
    <s v="66052277997"/>
    <d v="1966-05-22T00:00:00"/>
    <d v="1995-09-01T00:00:00"/>
    <n v="10450"/>
    <n v="15000"/>
    <s v="TAK"/>
    <s v="TAK"/>
    <n v="120"/>
    <n v="57"/>
  </r>
  <r>
    <n v="19"/>
    <s v="Nowak Piotr"/>
    <x v="7"/>
    <n v="86041122335"/>
    <d v="1986-04-11T00:00:00"/>
    <d v="2015-03-01T00:00:00"/>
    <n v="3329"/>
    <n v="7000"/>
    <s v="TAK"/>
    <s v="TAK"/>
    <n v="120"/>
    <n v="38"/>
  </r>
  <r>
    <n v="20"/>
    <s v="Paprykowski Adam"/>
    <x v="2"/>
    <s v="85070122553"/>
    <d v="1985-07-01T00:00:00"/>
    <d v="2005-01-01T00:00:00"/>
    <n v="7040"/>
    <n v="4800"/>
    <s v="NIE"/>
    <s v="TAK"/>
    <n v="60"/>
    <n v="38"/>
  </r>
  <r>
    <n v="21"/>
    <s v="Piotrowska Magdalena"/>
    <x v="0"/>
    <s v="96100844554"/>
    <d v="1996-10-08T00:00:00"/>
    <d v="2010-01-01T00:00:00"/>
    <n v="5214"/>
    <n v="4800"/>
    <s v="TAK"/>
    <s v="TAK"/>
    <n v="0"/>
    <n v="27"/>
  </r>
  <r>
    <n v="22"/>
    <s v="Radowska Patrycja"/>
    <x v="2"/>
    <s v="02250155668"/>
    <d v="2002-05-01T00:00:00"/>
    <d v="2024-01-01T00:00:00"/>
    <n v="101"/>
    <n v="4800"/>
    <s v="TAK"/>
    <s v="TAK"/>
    <n v="0"/>
    <n v="21"/>
  </r>
  <r>
    <n v="23"/>
    <s v="Roman Radosław"/>
    <x v="3"/>
    <n v="85110488553"/>
    <d v="1985-11-04T00:00:00"/>
    <d v="2000-05-01T00:00:00"/>
    <n v="8746"/>
    <n v="4800"/>
    <s v="NIE"/>
    <s v="TAK"/>
    <n v="120"/>
    <n v="38"/>
  </r>
  <r>
    <n v="24"/>
    <s v="Sankowska Bożena"/>
    <x v="8"/>
    <n v="68072566994"/>
    <d v="1968-07-25T00:00:00"/>
    <d v="1999-01-01T00:00:00"/>
    <n v="9232"/>
    <n v="5800"/>
    <s v="NIE"/>
    <s v="TAK"/>
    <n v="120"/>
    <n v="55"/>
  </r>
  <r>
    <n v="25"/>
    <s v="Sarnowski Mateusz"/>
    <x v="2"/>
    <s v="85091455663"/>
    <d v="1985-09-14T00:00:00"/>
    <d v="2005-01-01T00:00:00"/>
    <n v="7040"/>
    <n v="4700"/>
    <s v="TAK"/>
    <s v="TAK"/>
    <n v="60"/>
    <n v="38"/>
  </r>
  <r>
    <n v="26"/>
    <s v="Tarnowski Błażej"/>
    <x v="0"/>
    <s v="94050688553"/>
    <d v="1994-05-06T00:00:00"/>
    <d v="2006-01-01T00:00:00"/>
    <n v="6675"/>
    <n v="4900"/>
    <s v="NIE"/>
    <s v="TAK"/>
    <n v="0"/>
    <n v="29"/>
  </r>
  <r>
    <n v="27"/>
    <s v="Wolski Tadeusz"/>
    <x v="9"/>
    <n v="78120533557"/>
    <d v="1978-12-05T00:00:00"/>
    <d v="1998-01-01T00:00:00"/>
    <n v="9597"/>
    <n v="7000"/>
    <s v="NIE"/>
    <s v="TAK"/>
    <n v="60"/>
    <n v="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n v="1"/>
    <s v="Adamska Wioleta"/>
    <n v="34"/>
    <x v="0"/>
    <s v="magazynier"/>
    <x v="0"/>
    <n v="4600"/>
    <n v="89070122558"/>
    <s v="kobieta"/>
    <s v="TAK"/>
  </r>
  <r>
    <n v="2"/>
    <s v="Baczyńska Halina"/>
    <n v="56"/>
    <x v="1"/>
    <s v="księgowy"/>
    <x v="1"/>
    <n v="5500"/>
    <n v="67110122558"/>
    <s v="kobieta"/>
    <s v="NIE"/>
  </r>
  <r>
    <n v="3"/>
    <s v="Baranowski Grzegorz"/>
    <n v="18"/>
    <x v="2"/>
    <s v="pracownik produkcji"/>
    <x v="0"/>
    <n v="4800"/>
    <s v="05320166557"/>
    <s v="mężczyzna"/>
    <s v="TAK"/>
  </r>
  <r>
    <n v="4"/>
    <s v="Chylewska Izabela"/>
    <n v="22"/>
    <x v="2"/>
    <s v="magazynier"/>
    <x v="0"/>
    <n v="4800"/>
    <s v="02210111554"/>
    <s v="kobieta"/>
    <s v="TAK"/>
  </r>
  <r>
    <n v="5"/>
    <s v="Dudek Hanna"/>
    <n v="30"/>
    <x v="0"/>
    <s v="pracownik produkcji"/>
    <x v="0"/>
    <n v="4600"/>
    <n v="93050122556"/>
    <s v="kobieta"/>
    <s v="TAK"/>
  </r>
  <r>
    <n v="6"/>
    <s v="Frankowski Franciszek"/>
    <n v="45"/>
    <x v="3"/>
    <s v="pracownik produkcji"/>
    <x v="0"/>
    <n v="4500"/>
    <s v="78120344555"/>
    <s v="mężczyzna"/>
    <s v="TAK"/>
  </r>
  <r>
    <n v="7"/>
    <s v="Głowacki Ryszard"/>
    <n v="51"/>
    <x v="4"/>
    <s v="mechanik"/>
    <x v="0"/>
    <n v="5000"/>
    <n v="72090188665"/>
    <s v="mężczyzna"/>
    <s v="TAK"/>
  </r>
  <r>
    <n v="8"/>
    <s v="Górski Patryk"/>
    <n v="31"/>
    <x v="0"/>
    <s v="laborant"/>
    <x v="1"/>
    <n v="5500"/>
    <n v="92060155663"/>
    <s v="mężczyzna"/>
    <s v="TAK"/>
  </r>
  <r>
    <n v="9"/>
    <s v="Januszewski Marek"/>
    <n v="45"/>
    <x v="3"/>
    <s v="mechanik"/>
    <x v="0"/>
    <n v="4900"/>
    <s v="78050611225"/>
    <s v="mężczyzna"/>
    <s v="TAK"/>
  </r>
  <r>
    <n v="10"/>
    <s v="Kowalska Ewa"/>
    <n v="35"/>
    <x v="0"/>
    <s v="księgowy"/>
    <x v="1"/>
    <n v="6000"/>
    <n v="88111022336"/>
    <s v="kobieta"/>
    <s v="TAK"/>
  </r>
  <r>
    <n v="11"/>
    <s v="Kowalska Irena"/>
    <n v="56"/>
    <x v="1"/>
    <s v="pracownik produkcji"/>
    <x v="0"/>
    <n v="4800"/>
    <s v="67050122556"/>
    <s v="kobieta"/>
    <s v="NIE"/>
  </r>
  <r>
    <n v="12"/>
    <s v="Kowalski Paweł"/>
    <n v="40"/>
    <x v="3"/>
    <s v="laborant"/>
    <x v="1"/>
    <n v="5500"/>
    <s v="83120744557"/>
    <s v="mężczyzna"/>
    <s v="TAK"/>
  </r>
  <r>
    <n v="13"/>
    <s v="Krakowska Natalia"/>
    <n v="31"/>
    <x v="0"/>
    <s v="pracownik produkcji"/>
    <x v="0"/>
    <n v="4700"/>
    <s v="93020944558"/>
    <s v="kobieta"/>
    <s v="TAK"/>
  </r>
  <r>
    <n v="14"/>
    <s v="Lewandowska Grażyna"/>
    <n v="51"/>
    <x v="4"/>
    <s v="kasjer"/>
    <x v="1"/>
    <n v="5000"/>
    <s v="72050422356"/>
    <s v="kobieta"/>
    <s v="TAK"/>
  </r>
  <r>
    <n v="15"/>
    <s v="Malinowski Henryk"/>
    <n v="29"/>
    <x v="0"/>
    <s v="mechanik"/>
    <x v="0"/>
    <n v="5000"/>
    <n v="94050277551"/>
    <s v="mężczyzna"/>
    <s v="TAK"/>
  </r>
  <r>
    <n v="16"/>
    <s v="Michalska Teresa"/>
    <n v="62"/>
    <x v="1"/>
    <s v="pracownik produkcji"/>
    <x v="0"/>
    <n v="4800"/>
    <n v="62010122556"/>
    <s v="kobieta"/>
    <s v="NIE"/>
  </r>
  <r>
    <n v="17"/>
    <s v="Nowacki Jerzy"/>
    <n v="28"/>
    <x v="0"/>
    <s v="pracownik produkcji"/>
    <x v="0"/>
    <n v="4700"/>
    <n v="95080611223"/>
    <s v="mężczyzna"/>
    <s v="TAK"/>
  </r>
  <r>
    <n v="18"/>
    <s v="Nowak Jan"/>
    <n v="57"/>
    <x v="1"/>
    <s v="prezes"/>
    <x v="1"/>
    <n v="15000"/>
    <s v="66052277997"/>
    <s v="mężczyzna"/>
    <s v="TAK"/>
  </r>
  <r>
    <n v="19"/>
    <s v="Nowak Piotr"/>
    <n v="38"/>
    <x v="3"/>
    <s v="kierownik produkcji"/>
    <x v="1"/>
    <n v="7000"/>
    <n v="86041122335"/>
    <s v="mężczyzna"/>
    <s v="TAK"/>
  </r>
  <r>
    <n v="20"/>
    <s v="Paprykowski Adam"/>
    <n v="38"/>
    <x v="3"/>
    <s v="pracownik produkcji"/>
    <x v="0"/>
    <n v="4800"/>
    <s v="85070122553"/>
    <s v="mężczyzna"/>
    <s v="TAK"/>
  </r>
  <r>
    <n v="21"/>
    <s v="Piotrowska Magdalena"/>
    <n v="27"/>
    <x v="0"/>
    <s v="magazynier"/>
    <x v="0"/>
    <n v="4800"/>
    <s v="96100844554"/>
    <s v="kobieta"/>
    <s v="TAK"/>
  </r>
  <r>
    <n v="22"/>
    <s v="Radowska Patrycja"/>
    <n v="21"/>
    <x v="2"/>
    <s v="pracownik produkcji"/>
    <x v="0"/>
    <n v="4800"/>
    <s v="02250155668"/>
    <s v="kobieta"/>
    <s v="TAK"/>
  </r>
  <r>
    <n v="23"/>
    <s v="Roman Radosław"/>
    <n v="38"/>
    <x v="3"/>
    <s v="mechanik"/>
    <x v="0"/>
    <n v="4800"/>
    <n v="85110488553"/>
    <s v="mężczyzna"/>
    <s v="TAK"/>
  </r>
  <r>
    <n v="24"/>
    <s v="Sankowska Bożena"/>
    <n v="55"/>
    <x v="1"/>
    <s v="specjalista ds. kadr"/>
    <x v="1"/>
    <n v="5800"/>
    <n v="68072566994"/>
    <s v="kobieta"/>
    <s v="TAK"/>
  </r>
  <r>
    <n v="25"/>
    <s v="Sarnowski Mateusz"/>
    <n v="38"/>
    <x v="3"/>
    <s v="pracownik produkcji"/>
    <x v="0"/>
    <n v="4700"/>
    <s v="85091455663"/>
    <s v="mężczyzna"/>
    <s v="TAK"/>
  </r>
  <r>
    <n v="26"/>
    <s v="Tarnowski Błażej"/>
    <n v="29"/>
    <x v="0"/>
    <s v="magazynier"/>
    <x v="0"/>
    <n v="4900"/>
    <s v="94050688553"/>
    <s v="mężczyzna"/>
    <s v="TAK"/>
  </r>
  <r>
    <n v="27"/>
    <s v="Wolski Tadeusz"/>
    <n v="45"/>
    <x v="3"/>
    <s v="kierownik handlu"/>
    <x v="1"/>
    <n v="7000"/>
    <n v="78120533557"/>
    <s v="mężczyzna"/>
    <s v="TA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430B14-1FAB-4059-9954-B810A222C7FA}" name="Tabela przestawna1" cacheId="101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9" fieldListSortAscending="1">
  <location ref="A1:B12" firstHeaderRow="1" firstDataRow="1" firstDataCol="1"/>
  <pivotFields count="12">
    <pivotField showAll="0"/>
    <pivotField showAll="0"/>
    <pivotField axis="axisRow" showAll="0">
      <items count="12">
        <item x="6"/>
        <item x="9"/>
        <item x="7"/>
        <item x="8"/>
        <item x="1"/>
        <item x="4"/>
        <item x="5"/>
        <item x="3"/>
        <item x="0"/>
        <item x="2"/>
        <item m="1" x="10"/>
        <item t="default"/>
      </items>
    </pivotField>
    <pivotField showAll="0"/>
    <pivotField numFmtId="14" showAll="0"/>
    <pivotField numFmtId="14" showAll="0"/>
    <pivotField numFmtId="1" showAll="0"/>
    <pivotField dataField="1" numFmtId="43" showAll="0"/>
    <pivotField showAll="0"/>
    <pivotField showAll="0"/>
    <pivotField numFmtId="43" showAll="0"/>
    <pivotField numFmtId="1" showAll="0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Średnia z Wynagrodzenie" fld="7" subtotal="average" baseField="2" baseItem="0" numFmtId="167"/>
  </dataFields>
  <formats count="2">
    <format dxfId="1">
      <pivotArea collapsedLevelsAreSubtotals="1" fieldPosition="0">
        <references count="1">
          <reference field="2" count="1">
            <x v="0"/>
          </reference>
        </references>
      </pivotArea>
    </format>
    <format dxfId="0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23120D-54FB-4125-8ACC-8D3E210C54C9}" name="Tabela przestawna6" cacheId="116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2">
  <location ref="A64:B67" firstHeaderRow="1" firstDataRow="1" firstDataCol="1"/>
  <pivotFields count="10">
    <pivotField showAll="0"/>
    <pivotField showAll="0"/>
    <pivotField numFmtId="1" showAll="0"/>
    <pivotField showAll="0"/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Średnia z Wynagrodzenie" fld="6" subtotal="average" baseField="5" baseItem="0" numFmtId="164"/>
  </dataFields>
  <formats count="1">
    <format dxfId="12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B82C02-9BED-438A-A7F5-34B7D41C4920}" name="Tabela przestawna3" cacheId="116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3">
  <location ref="A49:B52" firstHeaderRow="1" firstDataRow="1" firstDataCol="1"/>
  <pivotFields count="10">
    <pivotField showAll="0"/>
    <pivotField dataField="1" showAll="0"/>
    <pivotField numFmtId="1"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Liczba z Pracownik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E19EAA-8DBE-489A-A48B-5DBB800F5EA1}" name="Tabela przestawna5" cacheId="116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2">
  <location ref="A38:B44" firstHeaderRow="1" firstDataRow="1" firstDataCol="1"/>
  <pivotFields count="10">
    <pivotField showAll="0"/>
    <pivotField dataField="1" showAll="0"/>
    <pivotField numFmtId="1" showAll="0"/>
    <pivotField axis="axisRow" showAll="0">
      <items count="8">
        <item x="2"/>
        <item x="0"/>
        <item x="3"/>
        <item x="4"/>
        <item x="1"/>
        <item m="1" x="5"/>
        <item m="1" x="6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Liczba z Pracownik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304717-683D-4801-95B4-FB2C61ED77A4}" name="Tabela przestawna2" cacheId="101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3">
  <location ref="A18:B29" firstHeaderRow="1" firstDataRow="1" firstDataCol="1"/>
  <pivotFields count="12">
    <pivotField showAll="0"/>
    <pivotField showAll="0"/>
    <pivotField axis="axisRow" dataField="1" showAll="0">
      <items count="12">
        <item x="2"/>
        <item x="0"/>
        <item x="3"/>
        <item x="4"/>
        <item x="1"/>
        <item x="6"/>
        <item x="8"/>
        <item x="9"/>
        <item x="7"/>
        <item x="5"/>
        <item m="1" x="10"/>
        <item t="default"/>
      </items>
    </pivotField>
    <pivotField showAll="0"/>
    <pivotField numFmtId="14" showAll="0"/>
    <pivotField numFmtId="14" showAll="0"/>
    <pivotField numFmtId="1" showAll="0"/>
    <pivotField numFmtId="43" showAll="0"/>
    <pivotField showAll="0"/>
    <pivotField showAll="0"/>
    <pivotField numFmtId="43" showAll="0"/>
    <pivotField numFmtId="1" showAll="0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Liczba z Stanowisko" fld="2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F3B87B-A1B0-4374-B43A-3E15AD081B58}" name="Tabela1" displayName="Tabela1" ref="B1:M28" totalsRowShown="0" headerRowDxfId="60">
  <autoFilter ref="B1:M28" xr:uid="{9CF3B87B-A1B0-4374-B43A-3E15AD081B58}"/>
  <sortState xmlns:xlrd2="http://schemas.microsoft.com/office/spreadsheetml/2017/richdata2" ref="B2:M28">
    <sortCondition ref="C1:C28"/>
  </sortState>
  <tableColumns count="12">
    <tableColumn id="1" xr3:uid="{02A6A433-35CF-4D14-84AA-6D213448CAEC}" name="Lp">
      <calculatedColumnFormula>ROW()-1</calculatedColumnFormula>
    </tableColumn>
    <tableColumn id="2" xr3:uid="{E409EEBA-BE83-48CC-9DE0-0BE35878F83B}" name="Pracownik" dataDxfId="59"/>
    <tableColumn id="3" xr3:uid="{AA3CF66C-FFC8-4630-B237-2B5E9F5D29F7}" name="Stanowisko" dataDxfId="58"/>
    <tableColumn id="4" xr3:uid="{82554206-546D-4FBB-80C6-9C315A582271}" name="PESEL" dataDxfId="57"/>
    <tableColumn id="5" xr3:uid="{B480137C-9252-45C2-970C-92154461BB62}" name="Data urodzenia" dataDxfId="56">
      <calculatedColumnFormula>IF(OR(MID(Tabela1[[#This Row],[PESEL]],3,1)="2",MID(Tabela1[[#This Row],[PESEL]],3,1)="3"),DATE(2000+LEFT(E2,2),MID(E2,3,2)-20,MID(E2,5,2)),DATE(1900+LEFT(E2,2),MID(E2,3,2),MID(E2,5,2)))</calculatedColumnFormula>
    </tableColumn>
    <tableColumn id="6" xr3:uid="{32A991DD-CA30-4EEF-9E6B-F7609AD01B1E}" name="Data zatrudnienia" dataDxfId="55"/>
    <tableColumn id="7" xr3:uid="{A5521686-1A21-4B7F-A310-D4D4E3619DF1}" name="Staż [dni]" dataDxfId="54">
      <calculatedColumnFormula>_xlfn.DAYS(NOW(),Tabela1[[#This Row],[Data zatrudnienia]])</calculatedColumnFormula>
    </tableColumn>
    <tableColumn id="8" xr3:uid="{404ACFBF-751F-4127-A5E2-50685E01D5C3}" name="Wynagrodzenie" dataCellStyle="Dziesiętny"/>
    <tableColumn id="9" xr3:uid="{FCEC7EE5-3F32-46E3-AC68-7A86426921B6}" name="Czy zwiększone koszty?" dataDxfId="53"/>
    <tableColumn id="10" xr3:uid="{03C5FF72-26F7-4ECB-B03D-67B2D70BA665}" name="Czy ulga podatkowa?" dataDxfId="52"/>
    <tableColumn id="11" xr3:uid="{8C051B3F-DE32-487F-A909-F6CD9DA9483E}" name="Ubezpieczenie" dataCellStyle="Dziesiętny"/>
    <tableColumn id="12" xr3:uid="{F60A05D9-FAFC-4688-8F61-CFDABC0D12F9}" name="Wiek" dataDxfId="51">
      <calculatedColumnFormula>INT(_xlfn.DAYS(TODAY(),Tabela1[[#This Row],[Data urodzenia]])/365)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CA0A3B-2E5D-453A-99B8-C907E18A78D1}" name="Tabela5" displayName="Tabela5" ref="A2:Y29" headerRowDxfId="50">
  <autoFilter ref="A2:Y29" xr:uid="{C0CA0A3B-2E5D-453A-99B8-C907E18A78D1}"/>
  <sortState xmlns:xlrd2="http://schemas.microsoft.com/office/spreadsheetml/2017/richdata2" ref="A3:Y29">
    <sortCondition ref="B2:B29"/>
  </sortState>
  <tableColumns count="25">
    <tableColumn id="1" xr3:uid="{16F910C9-DD6B-491D-9AFA-C4C638DCACB9}" name="Lp" dataDxfId="49">
      <calculatedColumnFormula>ROW()-2</calculatedColumnFormula>
    </tableColumn>
    <tableColumn id="2" xr3:uid="{F6500B6B-3C2A-4EE2-9626-0DDD1B791246}" name="Pracownik" totalsRowLabel="hdgfyues"/>
    <tableColumn id="3" xr3:uid="{64641E59-FF40-4D46-A24D-E72868F7A55B}" name="Wynagrodzenie" totalsRowFunction="sum" totalsRowDxfId="48" dataCellStyle="Dziesiętny">
      <calculatedColumnFormula>VLOOKUP(Tabela5[[#This Row],[Pracownik]],Pracownicy!C:I,7,FALSE)</calculatedColumnFormula>
    </tableColumn>
    <tableColumn id="4" xr3:uid="{985091E7-ECEB-480A-AF1C-AB0409C90E40}" name="Premia 10%" totalsRowFunction="sum" totalsRowDxfId="47" dataCellStyle="Dziesiętny">
      <calculatedColumnFormula>0.1*Tabela5[[#This Row],[Wynagrodzenie]]</calculatedColumnFormula>
    </tableColumn>
    <tableColumn id="5" xr3:uid="{669AD499-5592-4F70-9CFF-8CB6A45671E8}" name="Brutto" totalsRowFunction="sum" dataDxfId="46" totalsRowDxfId="45" dataCellStyle="Dziesiętny">
      <calculatedColumnFormula>Tabela5[[#This Row],[Wynagrodzenie]]+Tabela5[[#This Row],[Premia 10%]]</calculatedColumnFormula>
    </tableColumn>
    <tableColumn id="6" xr3:uid="{27F597DA-ECFC-4C0D-A85B-59CF70948CFD}" name="Składka emerytalna pracownika" totalsRowFunction="sum" totalsRowDxfId="44" dataCellStyle="Dziesiętny">
      <calculatedColumnFormula>0.0976*Tabela5[[#This Row],[Brutto]]</calculatedColumnFormula>
    </tableColumn>
    <tableColumn id="7" xr3:uid="{9B2D28BB-18DF-4706-B20E-413AEE063D7E}" name="Składka chorobowa " totalsRowFunction="sum" totalsRowDxfId="43" dataCellStyle="Dziesiętny">
      <calculatedColumnFormula>0.0245*Tabela5[[#This Row],[Brutto]]</calculatedColumnFormula>
    </tableColumn>
    <tableColumn id="8" xr3:uid="{BC8C08C6-96DD-4F56-9132-0C949CA5A926}" name="Składka rentowa pracownika" totalsRowFunction="sum" totalsRowDxfId="42" dataCellStyle="Dziesiętny">
      <calculatedColumnFormula>0.015*Tabela5[[#This Row],[Brutto]]</calculatedColumnFormula>
    </tableColumn>
    <tableColumn id="9" xr3:uid="{1DD3174B-8746-465B-8D20-B8E3FDD3BE5D}" name="Składki pracownika" totalsRowFunction="sum" dataDxfId="41" totalsRowDxfId="40" dataCellStyle="Dziesiętny">
      <calculatedColumnFormula>SUM(Tabela5[[#This Row],[Składka emerytalna pracownika]:[Składka rentowa pracownika]])</calculatedColumnFormula>
    </tableColumn>
    <tableColumn id="10" xr3:uid="{20698352-E8E1-46FD-8872-5875A2338723}" name="Podstawa składki zdrowotnej" totalsRowFunction="sum" totalsRowDxfId="39" dataCellStyle="Dziesiętny">
      <calculatedColumnFormula>Tabela5[[#This Row],[Brutto]]-Tabela5[[#This Row],[Składki pracownika]]</calculatedColumnFormula>
    </tableColumn>
    <tableColumn id="11" xr3:uid="{A003A936-20FB-47F8-B129-5E44CB7B183C}" name="Składka zdrowotna" totalsRowFunction="sum" dataDxfId="38" totalsRowDxfId="37" dataCellStyle="Dziesiętny">
      <calculatedColumnFormula>0.09*Tabela5[[#This Row],[Podstawa składki zdrowotnej]]</calculatedColumnFormula>
    </tableColumn>
    <tableColumn id="12" xr3:uid="{1783717F-751D-4590-88BD-C46A6A736681}" name="Koszty uzyskania przychodu" totalsRowFunction="sum" totalsRowDxfId="36" dataCellStyle="Dziesiętny">
      <calculatedColumnFormula>IF(VLOOKUP(B3,Pracownik,8,FALSE)="TAK",300,250)</calculatedColumnFormula>
    </tableColumn>
    <tableColumn id="13" xr3:uid="{6718AFC0-6B16-4F66-BFC2-51A4F701B10E}" name="Podstawa podatku" totalsRowFunction="sum" totalsRowDxfId="35" dataCellStyle="Dziesiętny">
      <calculatedColumnFormula>Tabela5[[#This Row],[Brutto]]-Tabela5[[#This Row],[Składki pracownika]]-Tabela5[[#This Row],[Składka zdrowotna]]-Tabela5[[#This Row],[Koszty uzyskania przychodu]]</calculatedColumnFormula>
    </tableColumn>
    <tableColumn id="14" xr3:uid="{B4F91F14-292F-4713-B8FA-5D9C1A74219A}" name="Ulga podatkowa" totalsRowFunction="sum" totalsRowDxfId="34" dataCellStyle="Dziesiętny">
      <calculatedColumnFormula>IF(VLOOKUP(B3,Pracownik,9,FALSE)="TAK",300,0)</calculatedColumnFormula>
    </tableColumn>
    <tableColumn id="15" xr3:uid="{99A58D36-45AF-4001-A73F-231B9DDD0548}" name="Zaliczka na podatek" totalsRowFunction="sum" dataDxfId="33" totalsRowDxfId="32" dataCellStyle="Dziesiętny">
      <calculatedColumnFormula>0.12*Tabela5[[#This Row],[Podstawa podatku]]-Tabela5[[#This Row],[Ulga podatkowa]]</calculatedColumnFormula>
    </tableColumn>
    <tableColumn id="16" xr3:uid="{69F4EA48-4BB4-46C4-BABF-6831949290AF}" name="Netto" totalsRowFunction="sum" dataDxfId="31" totalsRowDxfId="30" dataCellStyle="Dziesiętny">
      <calculatedColumnFormula>Tabela5[[#This Row],[Brutto]]-Tabela5[[#This Row],[Składki pracownika]]-Tabela5[[#This Row],[Składka zdrowotna]]-Tabela5[[#This Row],[Zaliczka na podatek]]</calculatedColumnFormula>
    </tableColumn>
    <tableColumn id="17" xr3:uid="{2C5FEE64-E1EB-4508-AB94-7DC78FB26970}" name="Ubezpieczenie" totalsRowFunction="sum" totalsRowDxfId="29" dataCellStyle="Dziesiętny">
      <calculatedColumnFormula>VLOOKUP(B3,Pracownik,10,FALSE)</calculatedColumnFormula>
    </tableColumn>
    <tableColumn id="18" xr3:uid="{306F5F8C-E946-4559-9F66-6E8E094694E8}" name="Wypłata na ROR" totalsRowFunction="sum" dataDxfId="28" totalsRowDxfId="27" dataCellStyle="Dziesiętny">
      <calculatedColumnFormula>Tabela5[[#This Row],[Netto]]-Tabela5[[#This Row],[Ubezpieczenie]]</calculatedColumnFormula>
    </tableColumn>
    <tableColumn id="19" xr3:uid="{B75890E6-0728-4A4F-A8D5-02553552C796}" name="Składka emerytalna pracodawcy" dataDxfId="26" totalsRowDxfId="25" dataCellStyle="Dziesiętny">
      <calculatedColumnFormula>0.0976*Tabela5[[#This Row],[Brutto]]</calculatedColumnFormula>
    </tableColumn>
    <tableColumn id="20" xr3:uid="{0331F3DF-F710-4266-A293-43E7CE5162EF}" name="Składka rentowa pracodawcy" dataDxfId="24" totalsRowDxfId="23" dataCellStyle="Dziesiętny">
      <calculatedColumnFormula>0.065*Tabela5[[#This Row],[Brutto]]</calculatedColumnFormula>
    </tableColumn>
    <tableColumn id="21" xr3:uid="{317E4238-18D2-4116-AF4A-1EEA3E179F63}" name="Składka wypadkowa" dataDxfId="22" totalsRowDxfId="21" dataCellStyle="Dziesiętny">
      <calculatedColumnFormula>0.0167*Tabela5[[#This Row],[Brutto]]</calculatedColumnFormula>
    </tableColumn>
    <tableColumn id="22" xr3:uid="{053E0A80-354F-4B62-8455-E5457E9E0B17}" name="Składki pracodawcy razem" dataDxfId="20" totalsRowDxfId="19" dataCellStyle="Dziesiętny">
      <calculatedColumnFormula>SUM(Tabela5[[#This Row],[Składka emerytalna pracodawcy]:[Składka wypadkowa]])</calculatedColumnFormula>
    </tableColumn>
    <tableColumn id="23" xr3:uid="{F226011D-CA3F-426D-9D5C-B1F4B9C38C97}" name="FP" dataDxfId="18" totalsRowDxfId="17" dataCellStyle="Dziesiętny">
      <calculatedColumnFormula>IF(VLOOKUP(B3,DaneDodatkowe!B:J,9,FALSE)="TAK",2.45/100*Tabela5[[#This Row],[Brutto]],0)</calculatedColumnFormula>
    </tableColumn>
    <tableColumn id="24" xr3:uid="{248C88A3-A984-401C-93AF-0E1C732048F4}" name="FGŚP" dataDxfId="16" totalsRowDxfId="15" dataCellStyle="Dziesiętny">
      <calculatedColumnFormula>IF(VLOOKUP(B3,DaneDodatkowe!B:J,9,FALSE)="TAK",0.1/100*Tabela5[[#This Row],[Brutto]],0)</calculatedColumnFormula>
    </tableColumn>
    <tableColumn id="25" xr3:uid="{66F83CF1-030B-499E-B73F-D28F2CFC7375}" name="Razem koszty" dataDxfId="14" totalsRowDxfId="13" dataCellStyle="Dziesiętny">
      <calculatedColumnFormula>Tabela5[[#This Row],[Brutto]]+Tabela5[[#This Row],[Składki pracodawcy razem]]+Tabela5[[#This Row],[FP]]+Tabela5[[#This Row],[FGŚP]]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BDC25C-4C3C-4CD5-ADBE-88A8199B4E53}" name="Tabela2" displayName="Tabela2" ref="C5:E21" totalsRowShown="0">
  <autoFilter ref="C5:E21" xr:uid="{91BDC25C-4C3C-4CD5-ADBE-88A8199B4E53}"/>
  <tableColumns count="3">
    <tableColumn id="1" xr3:uid="{9F9076BB-1D8B-474E-8866-A9987003974A}" name="Lp"/>
    <tableColumn id="2" xr3:uid="{D4CC22F6-F9ED-45E3-B588-68605B5B5448}" name="Składnik"/>
    <tableColumn id="3" xr3:uid="{CF59932E-39A0-470F-99B1-8BDC856C1D09}" name="Kwota" dataCellStyle="Dziesiętn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D30F74-3B91-441B-8AB0-CADD2690A72E}" name="Tabela3" displayName="Tabela3" ref="G5:I15" totalsRowShown="0">
  <autoFilter ref="G5:I15" xr:uid="{B8D30F74-3B91-441B-8AB0-CADD2690A72E}"/>
  <tableColumns count="3">
    <tableColumn id="1" xr3:uid="{6898072B-AD6A-4936-9344-FF4C08FEC439}" name="Lp"/>
    <tableColumn id="2" xr3:uid="{7EDBEB0B-E2D0-404A-B8CE-07E03F53B87A}" name="Składnik"/>
    <tableColumn id="3" xr3:uid="{727620DA-B5CA-411B-8D3C-7661CAFE014F}" name="Kwota" dataCellStyle="Dziesiętn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BB42B9-F489-41F5-9950-124CACACA2CD}" name="Tabela4" displayName="Tabela4" ref="A1:J28" totalsRowShown="0" headerRowDxfId="11">
  <autoFilter ref="A1:J28" xr:uid="{6FBB42B9-F489-41F5-9950-124CACACA2CD}"/>
  <sortState xmlns:xlrd2="http://schemas.microsoft.com/office/spreadsheetml/2017/richdata2" ref="A2:J28">
    <sortCondition ref="B1:B28"/>
  </sortState>
  <tableColumns count="10">
    <tableColumn id="1" xr3:uid="{1992AADC-5A9C-4815-82BF-AA37AF83125D}" name="Lp">
      <calculatedColumnFormula>ROW()-1</calculatedColumnFormula>
    </tableColumn>
    <tableColumn id="2" xr3:uid="{1AB9D7A0-F5FA-4C39-A2BE-3D85DD29842B}" name="Pracownik" dataDxfId="10">
      <calculatedColumnFormula>Tabela1[[#This Row],[Pracownik]]</calculatedColumnFormula>
    </tableColumn>
    <tableColumn id="3" xr3:uid="{615D7A6A-BD2D-4F24-A712-1F356C9BC4D8}" name="Wiek" dataDxfId="9">
      <calculatedColumnFormula>VLOOKUP(Tabela4[[#This Row],[Pracownik]],Pracownicy!C:M,11,FALSE)</calculatedColumnFormula>
    </tableColumn>
    <tableColumn id="4" xr3:uid="{0BF537CA-36AA-4971-8B54-B6A888AC78ED}" name="Przedział wiekowy" dataDxfId="8">
      <calculatedColumnFormula>IF(Tabela4[[#This Row],[Wiek]]&lt;25,"18-25",IF(Tabela4[[#This Row],[Wiek]]&lt;36,"25-35",IF(Tabela4[[#This Row],[Wiek]]&lt;46,"36-45",IF(Tabela4[[#This Row],[Wiek]]&lt;55,"46-55","55+"))))</calculatedColumnFormula>
    </tableColumn>
    <tableColumn id="6" xr3:uid="{3E8E5607-E4E4-4159-B230-9839DE9A0939}" name="Stanowisko" dataDxfId="7">
      <calculatedColumnFormula>VLOOKUP(Tabela4[[#This Row],[Pracownik]],Pracownicy!C:D,2,FALSE)</calculatedColumnFormula>
    </tableColumn>
    <tableColumn id="5" xr3:uid="{048B061B-81AE-44AC-8EA2-E14AFAC47D5F}" name="Pracownik fizyczny/umysłowy" dataDxfId="6">
      <calculatedColumnFormula>VLOOKUP(Tabela4[[#This Row],[Stanowisko]],Stanowiska!A:B,2,FALSE)</calculatedColumnFormula>
    </tableColumn>
    <tableColumn id="7" xr3:uid="{26DA213C-454D-4B75-B4AC-B02085968B94}" name="Wynagrodzenie" dataCellStyle="Walutowy">
      <calculatedColumnFormula>VLOOKUP(Tabela4[[#This Row],[Pracownik]],Pracownicy!C:I,7,FALSE)</calculatedColumnFormula>
    </tableColumn>
    <tableColumn id="9" xr3:uid="{F9A3FFCD-D44C-4945-BE1A-EEEB636C7E89}" name="PESEL" dataDxfId="5" dataCellStyle="Walutowy">
      <calculatedColumnFormula>VLOOKUP(Tabela4[[#This Row],[Pracownik]],Tabela1[[Pracownik]:[PESEL]],3,FALSE)</calculatedColumnFormula>
    </tableColumn>
    <tableColumn id="8" xr3:uid="{D243CEED-37A9-4A4A-8F53-3ECE7277D313}" name="Płeć" dataDxfId="4">
      <calculatedColumnFormula>IF(ISEVEN(Tabela4[[#This Row],[PESEL]]),"kobieta","mężczyzna")</calculatedColumnFormula>
    </tableColumn>
    <tableColumn id="10" xr3:uid="{200F56E0-40E5-470D-9B26-6F4CCD1A88C7}" name="FGŚP/FP" dataDxfId="3">
      <calculatedColumnFormula>IF(Tabela4[[#This Row],[Płeć]]="kobieta",IF(Tabela4[[#This Row],[Wiek]]&gt;55,"NIE","TAK"),IF(Tabela4[[#This Row],[Wiek]]&gt;60,"NIE","TAK"))</calculatedColumnFormula>
    </tableColumn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2BF564-4E31-4908-BCDB-D5908BC79663}" name="Tabela6" displayName="Tabela6" ref="A1:B11" totalsRowShown="0" headerRowDxfId="2">
  <autoFilter ref="A1:B11" xr:uid="{A32BF564-4E31-4908-BCDB-D5908BC79663}"/>
  <tableColumns count="2">
    <tableColumn id="1" xr3:uid="{9DCBD8B3-7B0C-4089-8084-2C7710C2B035}" name="Stanowisko"/>
    <tableColumn id="2" xr3:uid="{05CD0759-6E73-47C5-9A45-AAA483C45292}" name="Typ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11" Type="http://schemas.openxmlformats.org/officeDocument/2006/relationships/ctrlProp" Target="../ctrlProps/ctrlProp6.xml"/><Relationship Id="rId5" Type="http://schemas.openxmlformats.org/officeDocument/2006/relationships/pivotTable" Target="../pivotTables/pivotTable5.xml"/><Relationship Id="rId10" Type="http://schemas.openxmlformats.org/officeDocument/2006/relationships/ctrlProp" Target="../ctrlProps/ctrlProp5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5A3E9-A443-4A8D-8861-ADFB311F5518}">
  <sheetPr codeName="Arkusz1"/>
  <dimension ref="A1:M28"/>
  <sheetViews>
    <sheetView showGridLines="0" tabSelected="1" workbookViewId="0">
      <selection activeCell="C35" sqref="C35"/>
    </sheetView>
  </sheetViews>
  <sheetFormatPr defaultRowHeight="14.4" x14ac:dyDescent="0.3"/>
  <cols>
    <col min="1" max="1" width="17.44140625" customWidth="1"/>
    <col min="2" max="2" width="5.109375" customWidth="1"/>
    <col min="3" max="3" width="20.44140625" style="6" customWidth="1"/>
    <col min="4" max="4" width="20.109375" style="6" customWidth="1"/>
    <col min="5" max="5" width="13.44140625" style="6" customWidth="1"/>
    <col min="6" max="6" width="13.5546875" customWidth="1"/>
    <col min="7" max="7" width="14.33203125" style="32" customWidth="1"/>
    <col min="8" max="8" width="12.88671875" customWidth="1"/>
    <col min="9" max="9" width="17" customWidth="1"/>
    <col min="10" max="10" width="18" customWidth="1"/>
    <col min="11" max="11" width="15.44140625" style="3" customWidth="1"/>
    <col min="12" max="12" width="16.33203125" customWidth="1"/>
    <col min="13" max="13" width="10.44140625" customWidth="1"/>
  </cols>
  <sheetData>
    <row r="1" spans="1:13" s="2" customFormat="1" ht="39" customHeight="1" x14ac:dyDescent="0.3">
      <c r="A1" s="2">
        <v>0</v>
      </c>
      <c r="B1" s="2" t="s">
        <v>0</v>
      </c>
      <c r="C1" s="5" t="s">
        <v>1</v>
      </c>
      <c r="D1" s="5" t="s">
        <v>2</v>
      </c>
      <c r="E1" s="5" t="s">
        <v>3</v>
      </c>
      <c r="F1" s="16" t="s">
        <v>4</v>
      </c>
      <c r="G1" s="16" t="s">
        <v>5</v>
      </c>
      <c r="H1" s="2" t="s">
        <v>17</v>
      </c>
      <c r="I1" s="2" t="s">
        <v>6</v>
      </c>
      <c r="J1" s="2" t="s">
        <v>7</v>
      </c>
      <c r="K1" s="9" t="s">
        <v>8</v>
      </c>
      <c r="L1" s="2" t="s">
        <v>9</v>
      </c>
      <c r="M1" s="2" t="s">
        <v>66</v>
      </c>
    </row>
    <row r="2" spans="1:13" x14ac:dyDescent="0.3">
      <c r="B2">
        <f>ROW()-1</f>
        <v>1</v>
      </c>
      <c r="C2" s="6" t="s">
        <v>55</v>
      </c>
      <c r="D2" s="6" t="s">
        <v>56</v>
      </c>
      <c r="E2" s="6">
        <v>89070122558</v>
      </c>
      <c r="F2" s="1">
        <f>IF(OR(MID(Tabela1[[#This Row],[PESEL]],3,1)="2",MID(Tabela1[[#This Row],[PESEL]],3,1)="3"),DATE(2000+LEFT(E2,2),MID(E2,3,2)-20,MID(E2,5,2)),DATE(1900+LEFT(E2,2),MID(E2,3,2),MID(E2,5,2)))</f>
        <v>32690</v>
      </c>
      <c r="G2" s="32">
        <v>38353</v>
      </c>
      <c r="H2" s="4">
        <f ca="1">_xlfn.DAYS(NOW(),Tabela1[[#This Row],[Data zatrudnienia]])</f>
        <v>7040</v>
      </c>
      <c r="I2" s="7">
        <v>4600</v>
      </c>
      <c r="J2" s="8" t="s">
        <v>49</v>
      </c>
      <c r="K2" s="10" t="s">
        <v>48</v>
      </c>
      <c r="L2" s="7">
        <v>60</v>
      </c>
      <c r="M2" s="10">
        <f ca="1">INT(_xlfn.DAYS(TODAY(),Tabela1[[#This Row],[Data urodzenia]])/365)</f>
        <v>34</v>
      </c>
    </row>
    <row r="3" spans="1:13" x14ac:dyDescent="0.3">
      <c r="B3">
        <f>ROW()-1</f>
        <v>2</v>
      </c>
      <c r="C3" s="6" t="s">
        <v>46</v>
      </c>
      <c r="D3" s="6" t="s">
        <v>47</v>
      </c>
      <c r="E3" s="6">
        <v>67110122558</v>
      </c>
      <c r="F3" s="1">
        <f>IF(OR(MID(Tabela1[[#This Row],[PESEL]],3,1)="2",MID(Tabela1[[#This Row],[PESEL]],3,1)="3"),DATE(2000+LEFT(E3,2),MID(E3,3,2)-20,MID(E3,5,2)),DATE(1900+LEFT(E3,2),MID(E3,3,2),MID(E3,5,2)))</f>
        <v>24777</v>
      </c>
      <c r="G3" s="32">
        <v>35796</v>
      </c>
      <c r="H3" s="4">
        <f ca="1">_xlfn.DAYS(NOW(),Tabela1[[#This Row],[Data zatrudnienia]])</f>
        <v>9597</v>
      </c>
      <c r="I3" s="7">
        <v>5500</v>
      </c>
      <c r="J3" s="8" t="s">
        <v>48</v>
      </c>
      <c r="K3" s="10" t="s">
        <v>48</v>
      </c>
      <c r="L3" s="7">
        <v>60</v>
      </c>
      <c r="M3" s="10">
        <f ca="1">INT(_xlfn.DAYS(TODAY(),Tabela1[[#This Row],[Data urodzenia]])/365)</f>
        <v>56</v>
      </c>
    </row>
    <row r="4" spans="1:13" x14ac:dyDescent="0.3">
      <c r="B4">
        <f>ROW()-1</f>
        <v>3</v>
      </c>
      <c r="C4" s="6" t="s">
        <v>80</v>
      </c>
      <c r="D4" s="6" t="s">
        <v>14</v>
      </c>
      <c r="E4" s="6" t="s">
        <v>84</v>
      </c>
      <c r="F4" s="1">
        <f>IF(OR(MID(Tabela1[[#This Row],[PESEL]],3,1)="2",MID(Tabela1[[#This Row],[PESEL]],3,1)="3"),DATE(2000+LEFT(E4,2),MID(E4,3,2)-20,MID(E4,5,2)),DATE(1900+LEFT(E4,2),MID(E4,3,2),MID(E4,5,2)))</f>
        <v>38687</v>
      </c>
      <c r="G4" s="32">
        <v>45292</v>
      </c>
      <c r="H4" s="4">
        <f ca="1">_xlfn.DAYS(NOW(),Tabela1[[#This Row],[Data zatrudnienia]])</f>
        <v>101</v>
      </c>
      <c r="I4" s="7">
        <v>4800</v>
      </c>
      <c r="J4" s="8" t="s">
        <v>48</v>
      </c>
      <c r="K4" s="10" t="s">
        <v>48</v>
      </c>
      <c r="L4" s="7">
        <v>60</v>
      </c>
      <c r="M4" s="10">
        <f ca="1">INT(_xlfn.DAYS(TODAY(),Tabela1[[#This Row],[Data urodzenia]])/365)</f>
        <v>18</v>
      </c>
    </row>
    <row r="5" spans="1:13" x14ac:dyDescent="0.3">
      <c r="B5">
        <f>ROW()-1</f>
        <v>4</v>
      </c>
      <c r="C5" s="6" t="s">
        <v>93</v>
      </c>
      <c r="D5" s="6" t="s">
        <v>56</v>
      </c>
      <c r="E5" s="6" t="s">
        <v>94</v>
      </c>
      <c r="F5" s="1">
        <f>IF(OR(MID(Tabela1[[#This Row],[PESEL]],3,1)="2",MID(Tabela1[[#This Row],[PESEL]],3,1)="3"),DATE(2000+LEFT(E5,2),MID(E5,3,2)-20,MID(E5,5,2)),DATE(1900+LEFT(E5,2),MID(E5,3,2),MID(E5,5,2)))</f>
        <v>37257</v>
      </c>
      <c r="G5" s="32">
        <v>45323</v>
      </c>
      <c r="H5" s="4">
        <f ca="1">_xlfn.DAYS(NOW(),Tabela1[[#This Row],[Data zatrudnienia]])</f>
        <v>70</v>
      </c>
      <c r="I5" s="7">
        <v>4800</v>
      </c>
      <c r="J5" s="8" t="s">
        <v>48</v>
      </c>
      <c r="K5" s="10" t="s">
        <v>48</v>
      </c>
      <c r="L5" s="7">
        <v>60</v>
      </c>
      <c r="M5" s="10">
        <f ca="1">INT(_xlfn.DAYS(TODAY(),Tabela1[[#This Row],[Data urodzenia]])/365)</f>
        <v>22</v>
      </c>
    </row>
    <row r="6" spans="1:13" x14ac:dyDescent="0.3">
      <c r="B6">
        <f>ROW()-1</f>
        <v>5</v>
      </c>
      <c r="C6" s="6" t="s">
        <v>57</v>
      </c>
      <c r="D6" s="6" t="s">
        <v>14</v>
      </c>
      <c r="E6" s="6">
        <v>93050122556</v>
      </c>
      <c r="F6" s="1">
        <f>IF(OR(MID(Tabela1[[#This Row],[PESEL]],3,1)="2",MID(Tabela1[[#This Row],[PESEL]],3,1)="3"),DATE(2000+LEFT(E6,2),MID(E6,3,2)-20,MID(E6,5,2)),DATE(1900+LEFT(E6,2),MID(E6,3,2),MID(E6,5,2)))</f>
        <v>34090</v>
      </c>
      <c r="G6" s="32">
        <v>43101</v>
      </c>
      <c r="H6" s="4">
        <f ca="1">_xlfn.DAYS(NOW(),Tabela1[[#This Row],[Data zatrudnienia]])</f>
        <v>2292</v>
      </c>
      <c r="I6" s="7">
        <v>4600</v>
      </c>
      <c r="J6" s="8" t="s">
        <v>49</v>
      </c>
      <c r="K6" s="10" t="s">
        <v>48</v>
      </c>
      <c r="L6" s="7">
        <v>0</v>
      </c>
      <c r="M6" s="10">
        <f ca="1">INT(_xlfn.DAYS(TODAY(),Tabela1[[#This Row],[Data urodzenia]])/365)</f>
        <v>30</v>
      </c>
    </row>
    <row r="7" spans="1:13" x14ac:dyDescent="0.3">
      <c r="B7">
        <f>ROW()-1</f>
        <v>6</v>
      </c>
      <c r="C7" s="6" t="s">
        <v>18</v>
      </c>
      <c r="D7" s="6" t="s">
        <v>14</v>
      </c>
      <c r="E7" s="6" t="s">
        <v>85</v>
      </c>
      <c r="F7" s="1">
        <f>IF(OR(MID(Tabela1[[#This Row],[PESEL]],3,1)="2",MID(Tabela1[[#This Row],[PESEL]],3,1)="3"),DATE(2000+LEFT(E7,2),MID(E7,3,2)-20,MID(E7,5,2)),DATE(1900+LEFT(E7,2),MID(E7,3,2),MID(E7,5,2)))</f>
        <v>28827</v>
      </c>
      <c r="G7" s="32">
        <v>36526</v>
      </c>
      <c r="H7" s="4">
        <f ca="1">_xlfn.DAYS(NOW(),Tabela1[[#This Row],[Data zatrudnienia]])</f>
        <v>8867</v>
      </c>
      <c r="I7" s="7">
        <v>4500</v>
      </c>
      <c r="J7" s="8" t="s">
        <v>48</v>
      </c>
      <c r="K7" s="10" t="s">
        <v>48</v>
      </c>
      <c r="L7" s="7">
        <v>60</v>
      </c>
      <c r="M7" s="10">
        <f ca="1">INT(_xlfn.DAYS(TODAY(),Tabela1[[#This Row],[Data urodzenia]])/365)</f>
        <v>45</v>
      </c>
    </row>
    <row r="8" spans="1:13" x14ac:dyDescent="0.3">
      <c r="B8">
        <f>ROW()-1</f>
        <v>7</v>
      </c>
      <c r="C8" s="6" t="s">
        <v>58</v>
      </c>
      <c r="D8" s="6" t="s">
        <v>13</v>
      </c>
      <c r="E8" s="6">
        <v>72090188665</v>
      </c>
      <c r="F8" s="1">
        <f>IF(OR(MID(Tabela1[[#This Row],[PESEL]],3,1)="2",MID(Tabela1[[#This Row],[PESEL]],3,1)="3"),DATE(2000+LEFT(E8,2),MID(E8,3,2)-20,MID(E8,5,2)),DATE(1900+LEFT(E8,2),MID(E8,3,2),MID(E8,5,2)))</f>
        <v>26543</v>
      </c>
      <c r="G8" s="32">
        <v>36647</v>
      </c>
      <c r="H8" s="4">
        <f ca="1">_xlfn.DAYS(NOW(),Tabela1[[#This Row],[Data zatrudnienia]])</f>
        <v>8746</v>
      </c>
      <c r="I8" s="7">
        <v>5000</v>
      </c>
      <c r="J8" s="8" t="s">
        <v>49</v>
      </c>
      <c r="K8" s="10" t="s">
        <v>48</v>
      </c>
      <c r="L8" s="7">
        <v>0</v>
      </c>
      <c r="M8" s="10">
        <f ca="1">INT(_xlfn.DAYS(TODAY(),Tabela1[[#This Row],[Data urodzenia]])/365)</f>
        <v>51</v>
      </c>
    </row>
    <row r="9" spans="1:13" x14ac:dyDescent="0.3">
      <c r="B9">
        <f>ROW()-1</f>
        <v>8</v>
      </c>
      <c r="C9" s="6" t="s">
        <v>65</v>
      </c>
      <c r="D9" s="6" t="s">
        <v>44</v>
      </c>
      <c r="E9" s="6">
        <v>92060155663</v>
      </c>
      <c r="F9" s="1">
        <f>IF(OR(MID(Tabela1[[#This Row],[PESEL]],3,1)="2",MID(Tabela1[[#This Row],[PESEL]],3,1)="3"),DATE(2000+LEFT(E9,2),MID(E9,3,2)-20,MID(E9,5,2)),DATE(1900+LEFT(E9,2),MID(E9,3,2),MID(E9,5,2)))</f>
        <v>33756</v>
      </c>
      <c r="G9" s="32">
        <v>44562</v>
      </c>
      <c r="H9" s="4">
        <f ca="1">_xlfn.DAYS(NOW(),Tabela1[[#This Row],[Data zatrudnienia]])</f>
        <v>831</v>
      </c>
      <c r="I9" s="7">
        <v>5500</v>
      </c>
      <c r="J9" s="8" t="s">
        <v>49</v>
      </c>
      <c r="K9" s="10" t="s">
        <v>48</v>
      </c>
      <c r="L9" s="7">
        <v>60</v>
      </c>
      <c r="M9" s="10">
        <f ca="1">INT(_xlfn.DAYS(TODAY(),Tabela1[[#This Row],[Data urodzenia]])/365)</f>
        <v>31</v>
      </c>
    </row>
    <row r="10" spans="1:13" x14ac:dyDescent="0.3">
      <c r="B10">
        <f>ROW()-1</f>
        <v>9</v>
      </c>
      <c r="C10" s="6" t="s">
        <v>149</v>
      </c>
      <c r="D10" s="6" t="s">
        <v>13</v>
      </c>
      <c r="E10" s="6" t="s">
        <v>150</v>
      </c>
      <c r="F10" s="1">
        <f>IF(OR(MID(Tabela1[[#This Row],[PESEL]],3,1)="2",MID(Tabela1[[#This Row],[PESEL]],3,1)="3"),DATE(2000+LEFT(E10,2),MID(E10,3,2)-20,MID(E10,5,2)),DATE(1900+LEFT(E10,2),MID(E10,3,2),MID(E10,5,2)))</f>
        <v>28616</v>
      </c>
      <c r="G10" s="32">
        <v>38108</v>
      </c>
      <c r="H10" s="4">
        <f ca="1">_xlfn.DAYS(NOW(),Tabela1[[#This Row],[Data zatrudnienia]])</f>
        <v>7285</v>
      </c>
      <c r="I10" s="7">
        <v>4900</v>
      </c>
      <c r="J10" s="8" t="s">
        <v>49</v>
      </c>
      <c r="K10" s="10" t="s">
        <v>48</v>
      </c>
      <c r="L10" s="7">
        <v>60</v>
      </c>
      <c r="M10" s="10">
        <f ca="1">INT(_xlfn.DAYS(TODAY(),Tabela1[[#This Row],[Data urodzenia]])/365)</f>
        <v>45</v>
      </c>
    </row>
    <row r="11" spans="1:13" x14ac:dyDescent="0.3">
      <c r="B11">
        <f>ROW()-1</f>
        <v>10</v>
      </c>
      <c r="C11" s="6" t="s">
        <v>12</v>
      </c>
      <c r="D11" s="6" t="s">
        <v>47</v>
      </c>
      <c r="E11" s="6">
        <v>88111022336</v>
      </c>
      <c r="F11" s="1">
        <f>IF(OR(MID(Tabela1[[#This Row],[PESEL]],3,1)="2",MID(Tabela1[[#This Row],[PESEL]],3,1)="3"),DATE(2000+LEFT(E11,2),MID(E11,3,2)-20,MID(E11,5,2)),DATE(1900+LEFT(E11,2),MID(E11,3,2),MID(E11,5,2)))</f>
        <v>32457</v>
      </c>
      <c r="G11" s="32">
        <v>45357</v>
      </c>
      <c r="H11" s="4">
        <f ca="1">_xlfn.DAYS(NOW(),Tabela1[[#This Row],[Data zatrudnienia]])</f>
        <v>36</v>
      </c>
      <c r="I11" s="7">
        <v>6000</v>
      </c>
      <c r="J11" s="8" t="s">
        <v>48</v>
      </c>
      <c r="K11" s="10" t="s">
        <v>48</v>
      </c>
      <c r="L11" s="7">
        <v>60</v>
      </c>
      <c r="M11" s="10">
        <f ca="1">INT(_xlfn.DAYS(TODAY(),Tabela1[[#This Row],[Data urodzenia]])/365)</f>
        <v>35</v>
      </c>
    </row>
    <row r="12" spans="1:13" x14ac:dyDescent="0.3">
      <c r="B12">
        <f>ROW()-1</f>
        <v>11</v>
      </c>
      <c r="C12" s="6" t="s">
        <v>158</v>
      </c>
      <c r="D12" s="6" t="s">
        <v>14</v>
      </c>
      <c r="E12" s="6" t="s">
        <v>159</v>
      </c>
      <c r="F12" s="1">
        <f>IF(OR(MID(Tabela1[[#This Row],[PESEL]],3,1)="2",MID(Tabela1[[#This Row],[PESEL]],3,1)="3"),DATE(2000+LEFT(E12,2),MID(E12,3,2)-20,MID(E12,5,2)),DATE(1900+LEFT(E12,2),MID(E12,3,2),MID(E12,5,2)))</f>
        <v>24593</v>
      </c>
      <c r="G12" s="32" t="s">
        <v>160</v>
      </c>
      <c r="H12" s="4">
        <f ca="1">_xlfn.DAYS(NOW(),Tabela1[[#This Row],[Data zatrudnienia]])</f>
        <v>1196</v>
      </c>
      <c r="I12" s="7">
        <v>4800</v>
      </c>
      <c r="J12" s="41" t="s">
        <v>49</v>
      </c>
      <c r="K12" s="10" t="s">
        <v>48</v>
      </c>
      <c r="L12" s="7">
        <v>60</v>
      </c>
      <c r="M12" s="10">
        <f ca="1">INT(_xlfn.DAYS(TODAY(),Tabela1[[#This Row],[Data urodzenia]])/365)</f>
        <v>56</v>
      </c>
    </row>
    <row r="13" spans="1:13" x14ac:dyDescent="0.3">
      <c r="B13">
        <f>ROW()-1</f>
        <v>12</v>
      </c>
      <c r="C13" s="6" t="s">
        <v>45</v>
      </c>
      <c r="D13" s="6" t="s">
        <v>44</v>
      </c>
      <c r="E13" s="6" t="s">
        <v>86</v>
      </c>
      <c r="F13" s="1">
        <f>IF(OR(MID(Tabela1[[#This Row],[PESEL]],3,1)="2",MID(Tabela1[[#This Row],[PESEL]],3,1)="3"),DATE(2000+LEFT(E13,2),MID(E13,3,2)-20,MID(E13,5,2)),DATE(1900+LEFT(E13,2),MID(E13,3,2),MID(E13,5,2)))</f>
        <v>30657</v>
      </c>
      <c r="G13" s="32">
        <v>43881</v>
      </c>
      <c r="H13" s="4">
        <f ca="1">_xlfn.DAYS(NOW(),Tabela1[[#This Row],[Data zatrudnienia]])</f>
        <v>1512</v>
      </c>
      <c r="I13" s="7">
        <v>5500</v>
      </c>
      <c r="J13" s="8" t="s">
        <v>48</v>
      </c>
      <c r="K13" s="10" t="s">
        <v>48</v>
      </c>
      <c r="L13" s="7">
        <v>120</v>
      </c>
      <c r="M13" s="10">
        <f ca="1">INT(_xlfn.DAYS(TODAY(),Tabela1[[#This Row],[Data urodzenia]])/365)</f>
        <v>40</v>
      </c>
    </row>
    <row r="14" spans="1:13" x14ac:dyDescent="0.3">
      <c r="B14">
        <f>ROW()-1</f>
        <v>13</v>
      </c>
      <c r="C14" s="6" t="s">
        <v>59</v>
      </c>
      <c r="D14" s="6" t="s">
        <v>14</v>
      </c>
      <c r="E14" s="6" t="s">
        <v>87</v>
      </c>
      <c r="F14" s="1">
        <f>IF(OR(MID(Tabela1[[#This Row],[PESEL]],3,1)="2",MID(Tabela1[[#This Row],[PESEL]],3,1)="3"),DATE(2000+LEFT(E14,2),MID(E14,3,2)-20,MID(E14,5,2)),DATE(1900+LEFT(E14,2),MID(E14,3,2),MID(E14,5,2)))</f>
        <v>34009</v>
      </c>
      <c r="G14" s="32">
        <v>44470</v>
      </c>
      <c r="H14" s="4">
        <f ca="1">_xlfn.DAYS(NOW(),Tabela1[[#This Row],[Data zatrudnienia]])</f>
        <v>923</v>
      </c>
      <c r="I14" s="7">
        <v>4700</v>
      </c>
      <c r="J14" s="8" t="s">
        <v>48</v>
      </c>
      <c r="K14" s="10" t="s">
        <v>48</v>
      </c>
      <c r="L14" s="7">
        <v>60</v>
      </c>
      <c r="M14" s="10">
        <f ca="1">INT(_xlfn.DAYS(TODAY(),Tabela1[[#This Row],[Data urodzenia]])/365)</f>
        <v>31</v>
      </c>
    </row>
    <row r="15" spans="1:13" x14ac:dyDescent="0.3">
      <c r="B15">
        <f>ROW()-1</f>
        <v>14</v>
      </c>
      <c r="C15" s="6" t="s">
        <v>98</v>
      </c>
      <c r="D15" s="6" t="s">
        <v>97</v>
      </c>
      <c r="E15" s="6" t="s">
        <v>99</v>
      </c>
      <c r="F15" s="1">
        <f>IF(OR(MID(Tabela1[[#This Row],[PESEL]],3,1)="2",MID(Tabela1[[#This Row],[PESEL]],3,1)="3"),DATE(2000+LEFT(E15,2),MID(E15,3,2)-20,MID(E15,5,2)),DATE(1900+LEFT(E15,2),MID(E15,3,2),MID(E15,5,2)))</f>
        <v>26423</v>
      </c>
      <c r="G15" s="32">
        <v>36526</v>
      </c>
      <c r="H15" s="4">
        <f ca="1">_xlfn.DAYS(NOW(),Tabela1[[#This Row],[Data zatrudnienia]])</f>
        <v>8867</v>
      </c>
      <c r="I15" s="7">
        <v>5000</v>
      </c>
      <c r="J15" s="8" t="s">
        <v>48</v>
      </c>
      <c r="K15" s="10" t="s">
        <v>48</v>
      </c>
      <c r="L15" s="7">
        <v>60</v>
      </c>
      <c r="M15" s="10">
        <f ca="1">INT(_xlfn.DAYS(TODAY(),Tabela1[[#This Row],[Data urodzenia]])/365)</f>
        <v>51</v>
      </c>
    </row>
    <row r="16" spans="1:13" x14ac:dyDescent="0.3">
      <c r="B16">
        <f>ROW()-1</f>
        <v>15</v>
      </c>
      <c r="C16" s="6" t="s">
        <v>16</v>
      </c>
      <c r="D16" s="6" t="s">
        <v>13</v>
      </c>
      <c r="E16" s="6">
        <v>94050277551</v>
      </c>
      <c r="F16" s="1">
        <f>IF(OR(MID(Tabela1[[#This Row],[PESEL]],3,1)="2",MID(Tabela1[[#This Row],[PESEL]],3,1)="3"),DATE(2000+LEFT(E16,2),MID(E16,3,2)-20,MID(E16,5,2)),DATE(1900+LEFT(E16,2),MID(E16,3,2),MID(E16,5,2)))</f>
        <v>34456</v>
      </c>
      <c r="G16" s="32">
        <v>45022</v>
      </c>
      <c r="H16" s="4">
        <f ca="1">_xlfn.DAYS(NOW(),Tabela1[[#This Row],[Data zatrudnienia]])</f>
        <v>371</v>
      </c>
      <c r="I16" s="7">
        <v>5000</v>
      </c>
      <c r="J16" s="8" t="s">
        <v>49</v>
      </c>
      <c r="K16" s="10" t="s">
        <v>48</v>
      </c>
      <c r="L16" s="7">
        <v>60</v>
      </c>
      <c r="M16" s="10">
        <f ca="1">INT(_xlfn.DAYS(TODAY(),Tabela1[[#This Row],[Data urodzenia]])/365)</f>
        <v>29</v>
      </c>
    </row>
    <row r="17" spans="2:13" x14ac:dyDescent="0.3">
      <c r="B17">
        <f>ROW()-1</f>
        <v>16</v>
      </c>
      <c r="C17" s="6" t="s">
        <v>50</v>
      </c>
      <c r="D17" s="6" t="s">
        <v>14</v>
      </c>
      <c r="E17" s="6">
        <v>62010122556</v>
      </c>
      <c r="F17" s="1">
        <f>IF(OR(MID(Tabela1[[#This Row],[PESEL]],3,1)="2",MID(Tabela1[[#This Row],[PESEL]],3,1)="3"),DATE(2000+LEFT(E17,2),MID(E17,3,2)-20,MID(E17,5,2)),DATE(1900+LEFT(E17,2),MID(E17,3,2),MID(E17,5,2)))</f>
        <v>22647</v>
      </c>
      <c r="G17" s="32">
        <v>37288</v>
      </c>
      <c r="H17" s="4">
        <f ca="1">_xlfn.DAYS(NOW(),Tabela1[[#This Row],[Data zatrudnienia]])</f>
        <v>8105</v>
      </c>
      <c r="I17" s="7">
        <v>4800</v>
      </c>
      <c r="J17" s="8" t="s">
        <v>48</v>
      </c>
      <c r="K17" s="10" t="s">
        <v>49</v>
      </c>
      <c r="L17" s="7">
        <v>120</v>
      </c>
      <c r="M17" s="10">
        <f ca="1">INT(_xlfn.DAYS(TODAY(),Tabela1[[#This Row],[Data urodzenia]])/365)</f>
        <v>62</v>
      </c>
    </row>
    <row r="18" spans="2:13" x14ac:dyDescent="0.3">
      <c r="B18">
        <f>ROW()-1</f>
        <v>17</v>
      </c>
      <c r="C18" s="6" t="s">
        <v>68</v>
      </c>
      <c r="D18" s="6" t="s">
        <v>14</v>
      </c>
      <c r="E18" s="6">
        <v>95080611223</v>
      </c>
      <c r="F18" s="1">
        <f>IF(OR(MID(Tabela1[[#This Row],[PESEL]],3,1)="2",MID(Tabela1[[#This Row],[PESEL]],3,1)="3"),DATE(2000+LEFT(E18,2),MID(E18,3,2)-20,MID(E18,5,2)),DATE(1900+LEFT(E18,2),MID(E18,3,2),MID(E18,5,2)))</f>
        <v>34917</v>
      </c>
      <c r="G18" s="32">
        <v>38473</v>
      </c>
      <c r="H18" s="4">
        <f ca="1">_xlfn.DAYS(NOW(),Tabela1[[#This Row],[Data zatrudnienia]])</f>
        <v>6920</v>
      </c>
      <c r="I18" s="7">
        <v>4700</v>
      </c>
      <c r="J18" s="8" t="s">
        <v>48</v>
      </c>
      <c r="K18" s="10" t="s">
        <v>48</v>
      </c>
      <c r="L18" s="7">
        <v>0</v>
      </c>
      <c r="M18" s="10">
        <f ca="1">INT(_xlfn.DAYS(TODAY(),Tabela1[[#This Row],[Data urodzenia]])/365)</f>
        <v>28</v>
      </c>
    </row>
    <row r="19" spans="2:13" x14ac:dyDescent="0.3">
      <c r="B19">
        <f>ROW()-1</f>
        <v>18</v>
      </c>
      <c r="C19" s="6" t="s">
        <v>10</v>
      </c>
      <c r="D19" s="6" t="s">
        <v>11</v>
      </c>
      <c r="E19" s="6" t="s">
        <v>88</v>
      </c>
      <c r="F19" s="1">
        <f>IF(OR(MID(Tabela1[[#This Row],[PESEL]],3,1)="2",MID(Tabela1[[#This Row],[PESEL]],3,1)="3"),DATE(2000+LEFT(E19,2),MID(E19,3,2)-20,MID(E19,5,2)),DATE(1900+LEFT(E19,2),MID(E19,3,2),MID(E19,5,2)))</f>
        <v>24249</v>
      </c>
      <c r="G19" s="32">
        <v>34943</v>
      </c>
      <c r="H19" s="4">
        <f ca="1">_xlfn.DAYS(NOW(),Tabela1[[#This Row],[Data zatrudnienia]])</f>
        <v>10450</v>
      </c>
      <c r="I19" s="7">
        <v>15000</v>
      </c>
      <c r="J19" s="8" t="s">
        <v>48</v>
      </c>
      <c r="K19" s="10" t="s">
        <v>48</v>
      </c>
      <c r="L19" s="7">
        <v>120</v>
      </c>
      <c r="M19" s="10">
        <f ca="1">INT(_xlfn.DAYS(TODAY(),Tabela1[[#This Row],[Data urodzenia]])/365)</f>
        <v>57</v>
      </c>
    </row>
    <row r="20" spans="2:13" x14ac:dyDescent="0.3">
      <c r="B20">
        <f>ROW()-1</f>
        <v>19</v>
      </c>
      <c r="C20" s="6" t="s">
        <v>19</v>
      </c>
      <c r="D20" s="6" t="s">
        <v>15</v>
      </c>
      <c r="E20" s="6">
        <v>86041122335</v>
      </c>
      <c r="F20" s="1">
        <f>IF(OR(MID(Tabela1[[#This Row],[PESEL]],3,1)="2",MID(Tabela1[[#This Row],[PESEL]],3,1)="3"),DATE(2000+LEFT(E20,2),MID(E20,3,2)-20,MID(E20,5,2)),DATE(1900+LEFT(E20,2),MID(E20,3,2),MID(E20,5,2)))</f>
        <v>31513</v>
      </c>
      <c r="G20" s="32">
        <v>42064</v>
      </c>
      <c r="H20" s="4">
        <f ca="1">_xlfn.DAYS(NOW(),Tabela1[[#This Row],[Data zatrudnienia]])</f>
        <v>3329</v>
      </c>
      <c r="I20" s="7">
        <v>7000</v>
      </c>
      <c r="J20" s="8" t="s">
        <v>48</v>
      </c>
      <c r="K20" s="10" t="s">
        <v>48</v>
      </c>
      <c r="L20" s="7">
        <v>120</v>
      </c>
      <c r="M20" s="10">
        <f ca="1">INT(_xlfn.DAYS(TODAY(),Tabela1[[#This Row],[Data urodzenia]])/365)</f>
        <v>38</v>
      </c>
    </row>
    <row r="21" spans="2:13" x14ac:dyDescent="0.3">
      <c r="B21">
        <f>ROW()-1</f>
        <v>20</v>
      </c>
      <c r="C21" s="6" t="s">
        <v>103</v>
      </c>
      <c r="D21" s="6" t="s">
        <v>14</v>
      </c>
      <c r="E21" s="6" t="s">
        <v>104</v>
      </c>
      <c r="F21" s="1">
        <f>IF(OR(MID(Tabela1[[#This Row],[PESEL]],3,1)="2",MID(Tabela1[[#This Row],[PESEL]],3,1)="3"),DATE(2000+LEFT(E21,2),MID(E21,3,2)-20,MID(E21,5,2)),DATE(1900+LEFT(E21,2),MID(E21,3,2),MID(E21,5,2)))</f>
        <v>31229</v>
      </c>
      <c r="G21" s="32">
        <v>38353</v>
      </c>
      <c r="H21" s="4">
        <f ca="1">_xlfn.DAYS(NOW(),Tabela1[[#This Row],[Data zatrudnienia]])</f>
        <v>7040</v>
      </c>
      <c r="I21" s="7">
        <v>4800</v>
      </c>
      <c r="J21" s="8" t="s">
        <v>49</v>
      </c>
      <c r="K21" s="10" t="s">
        <v>48</v>
      </c>
      <c r="L21" s="7">
        <v>60</v>
      </c>
      <c r="M21" s="10">
        <f ca="1">INT(_xlfn.DAYS(TODAY(),Tabela1[[#This Row],[Data urodzenia]])/365)</f>
        <v>38</v>
      </c>
    </row>
    <row r="22" spans="2:13" x14ac:dyDescent="0.3">
      <c r="B22">
        <f>ROW()-1</f>
        <v>21</v>
      </c>
      <c r="C22" s="6" t="s">
        <v>74</v>
      </c>
      <c r="D22" s="6" t="s">
        <v>56</v>
      </c>
      <c r="E22" s="6" t="s">
        <v>89</v>
      </c>
      <c r="F22" s="1">
        <f>IF(OR(MID(Tabela1[[#This Row],[PESEL]],3,1)="2",MID(Tabela1[[#This Row],[PESEL]],3,1)="3"),DATE(2000+LEFT(E22,2),MID(E22,3,2)-20,MID(E22,5,2)),DATE(1900+LEFT(E22,2),MID(E22,3,2),MID(E22,5,2)))</f>
        <v>35346</v>
      </c>
      <c r="G22" s="32">
        <v>40179</v>
      </c>
      <c r="H22" s="4">
        <f ca="1">_xlfn.DAYS(NOW(),Tabela1[[#This Row],[Data zatrudnienia]])</f>
        <v>5214</v>
      </c>
      <c r="I22" s="7">
        <v>4800</v>
      </c>
      <c r="J22" s="8" t="s">
        <v>48</v>
      </c>
      <c r="K22" s="10" t="s">
        <v>48</v>
      </c>
      <c r="L22" s="7">
        <v>0</v>
      </c>
      <c r="M22" s="10">
        <f ca="1">INT(_xlfn.DAYS(TODAY(),Tabela1[[#This Row],[Data urodzenia]])/365)</f>
        <v>27</v>
      </c>
    </row>
    <row r="23" spans="2:13" x14ac:dyDescent="0.3">
      <c r="B23">
        <f>ROW()-1</f>
        <v>22</v>
      </c>
      <c r="C23" s="6" t="s">
        <v>79</v>
      </c>
      <c r="D23" s="6" t="s">
        <v>14</v>
      </c>
      <c r="E23" s="6" t="s">
        <v>90</v>
      </c>
      <c r="F23" s="1">
        <f>IF(OR(MID(Tabela1[[#This Row],[PESEL]],3,1)="2",MID(Tabela1[[#This Row],[PESEL]],3,1)="3"),DATE(2000+LEFT(E23,2),MID(E23,3,2)-20,MID(E23,5,2)),DATE(1900+LEFT(E23,2),MID(E23,3,2),MID(E23,5,2)))</f>
        <v>37377</v>
      </c>
      <c r="G23" s="32">
        <v>45292</v>
      </c>
      <c r="H23" s="4">
        <f ca="1">_xlfn.DAYS(NOW(),Tabela1[[#This Row],[Data zatrudnienia]])</f>
        <v>101</v>
      </c>
      <c r="I23" s="7">
        <v>4800</v>
      </c>
      <c r="J23" s="8" t="s">
        <v>48</v>
      </c>
      <c r="K23" s="10" t="s">
        <v>48</v>
      </c>
      <c r="L23" s="7">
        <v>0</v>
      </c>
      <c r="M23" s="10">
        <f ca="1">INT(_xlfn.DAYS(TODAY(),Tabela1[[#This Row],[Data urodzenia]])/365)</f>
        <v>21</v>
      </c>
    </row>
    <row r="24" spans="2:13" x14ac:dyDescent="0.3">
      <c r="B24">
        <f>ROW()-1</f>
        <v>23</v>
      </c>
      <c r="C24" s="6" t="s">
        <v>73</v>
      </c>
      <c r="D24" s="6" t="s">
        <v>13</v>
      </c>
      <c r="E24" s="6">
        <v>85110488553</v>
      </c>
      <c r="F24" s="1">
        <f>IF(OR(MID(Tabela1[[#This Row],[PESEL]],3,1)="2",MID(Tabela1[[#This Row],[PESEL]],3,1)="3"),DATE(2000+LEFT(E24,2),MID(E24,3,2)-20,MID(E24,5,2)),DATE(1900+LEFT(E24,2),MID(E24,3,2),MID(E24,5,2)))</f>
        <v>31355</v>
      </c>
      <c r="G24" s="32">
        <v>36647</v>
      </c>
      <c r="H24" s="4">
        <f ca="1">_xlfn.DAYS(NOW(),Tabela1[[#This Row],[Data zatrudnienia]])</f>
        <v>8746</v>
      </c>
      <c r="I24" s="7">
        <v>4800</v>
      </c>
      <c r="J24" s="8" t="s">
        <v>49</v>
      </c>
      <c r="K24" s="10" t="s">
        <v>48</v>
      </c>
      <c r="L24" s="7">
        <v>120</v>
      </c>
      <c r="M24" s="10">
        <f ca="1">INT(_xlfn.DAYS(TODAY(),Tabela1[[#This Row],[Data urodzenia]])/365)</f>
        <v>38</v>
      </c>
    </row>
    <row r="25" spans="2:13" x14ac:dyDescent="0.3">
      <c r="B25">
        <f>ROW()-1</f>
        <v>24</v>
      </c>
      <c r="C25" s="6" t="s">
        <v>60</v>
      </c>
      <c r="D25" s="6" t="s">
        <v>61</v>
      </c>
      <c r="E25" s="6">
        <v>68072566994</v>
      </c>
      <c r="F25" s="1">
        <f>IF(OR(MID(Tabela1[[#This Row],[PESEL]],3,1)="2",MID(Tabela1[[#This Row],[PESEL]],3,1)="3"),DATE(2000+LEFT(E25,2),MID(E25,3,2)-20,MID(E25,5,2)),DATE(1900+LEFT(E25,2),MID(E25,3,2),MID(E25,5,2)))</f>
        <v>25044</v>
      </c>
      <c r="G25" s="32">
        <v>36161</v>
      </c>
      <c r="H25" s="4">
        <f ca="1">_xlfn.DAYS(NOW(),Tabela1[[#This Row],[Data zatrudnienia]])</f>
        <v>9232</v>
      </c>
      <c r="I25" s="7">
        <v>5800</v>
      </c>
      <c r="J25" s="8" t="s">
        <v>49</v>
      </c>
      <c r="K25" s="10" t="s">
        <v>48</v>
      </c>
      <c r="L25" s="7">
        <v>120</v>
      </c>
      <c r="M25" s="10">
        <f ca="1">INT(_xlfn.DAYS(TODAY(),Tabela1[[#This Row],[Data urodzenia]])/365)</f>
        <v>55</v>
      </c>
    </row>
    <row r="26" spans="2:13" x14ac:dyDescent="0.3">
      <c r="B26">
        <f>ROW()-1</f>
        <v>25</v>
      </c>
      <c r="C26" s="6" t="s">
        <v>95</v>
      </c>
      <c r="D26" s="6" t="s">
        <v>14</v>
      </c>
      <c r="E26" s="6" t="s">
        <v>96</v>
      </c>
      <c r="F26" s="1">
        <f>IF(OR(MID(Tabela1[[#This Row],[PESEL]],3,1)="2",MID(Tabela1[[#This Row],[PESEL]],3,1)="3"),DATE(2000+LEFT(E26,2),MID(E26,3,2)-20,MID(E26,5,2)),DATE(1900+LEFT(E26,2),MID(E26,3,2),MID(E26,5,2)))</f>
        <v>31304</v>
      </c>
      <c r="G26" s="32">
        <v>38353</v>
      </c>
      <c r="H26" s="4">
        <f ca="1">_xlfn.DAYS(NOW(),Tabela1[[#This Row],[Data zatrudnienia]])</f>
        <v>7040</v>
      </c>
      <c r="I26" s="7">
        <v>4700</v>
      </c>
      <c r="J26" s="8" t="s">
        <v>48</v>
      </c>
      <c r="K26" s="10" t="s">
        <v>48</v>
      </c>
      <c r="L26" s="7">
        <v>60</v>
      </c>
      <c r="M26" s="10">
        <f ca="1">INT(_xlfn.DAYS(TODAY(),Tabela1[[#This Row],[Data urodzenia]])/365)</f>
        <v>38</v>
      </c>
    </row>
    <row r="27" spans="2:13" x14ac:dyDescent="0.3">
      <c r="B27">
        <f>ROW()-1</f>
        <v>26</v>
      </c>
      <c r="C27" s="6" t="s">
        <v>64</v>
      </c>
      <c r="D27" s="6" t="s">
        <v>56</v>
      </c>
      <c r="E27" s="6" t="s">
        <v>91</v>
      </c>
      <c r="F27" s="1">
        <f>IF(OR(MID(Tabela1[[#This Row],[PESEL]],3,1)="2",MID(Tabela1[[#This Row],[PESEL]],3,1)="3"),DATE(2000+LEFT(E27,2),MID(E27,3,2)-20,MID(E27,5,2)),DATE(1900+LEFT(E27,2),MID(E27,3,2),MID(E27,5,2)))</f>
        <v>34460</v>
      </c>
      <c r="G27" s="32">
        <v>38718</v>
      </c>
      <c r="H27" s="4">
        <f ca="1">_xlfn.DAYS(NOW(),Tabela1[[#This Row],[Data zatrudnienia]])</f>
        <v>6675</v>
      </c>
      <c r="I27" s="7">
        <v>4900</v>
      </c>
      <c r="J27" s="8" t="s">
        <v>49</v>
      </c>
      <c r="K27" s="10" t="s">
        <v>48</v>
      </c>
      <c r="L27" s="7">
        <v>0</v>
      </c>
      <c r="M27" s="10">
        <f ca="1">INT(_xlfn.DAYS(TODAY(),Tabela1[[#This Row],[Data urodzenia]])/365)</f>
        <v>29</v>
      </c>
    </row>
    <row r="28" spans="2:13" x14ac:dyDescent="0.3">
      <c r="B28">
        <f>ROW()-1</f>
        <v>27</v>
      </c>
      <c r="C28" s="6" t="s">
        <v>62</v>
      </c>
      <c r="D28" s="6" t="s">
        <v>63</v>
      </c>
      <c r="E28" s="6">
        <v>78120533557</v>
      </c>
      <c r="F28" s="1">
        <f>IF(OR(MID(Tabela1[[#This Row],[PESEL]],3,1)="2",MID(Tabela1[[#This Row],[PESEL]],3,1)="3"),DATE(2000+LEFT(E28,2),MID(E28,3,2)-20,MID(E28,5,2)),DATE(1900+LEFT(E28,2),MID(E28,3,2),MID(E28,5,2)))</f>
        <v>28829</v>
      </c>
      <c r="G28" s="32">
        <v>35796</v>
      </c>
      <c r="H28" s="4">
        <f ca="1">_xlfn.DAYS(NOW(),Tabela1[[#This Row],[Data zatrudnienia]])</f>
        <v>9597</v>
      </c>
      <c r="I28" s="7">
        <v>7000</v>
      </c>
      <c r="J28" s="8" t="s">
        <v>49</v>
      </c>
      <c r="K28" s="10" t="s">
        <v>48</v>
      </c>
      <c r="L28" s="7">
        <v>60</v>
      </c>
      <c r="M28" s="10">
        <f ca="1">INT(_xlfn.DAYS(TODAY(),Tabela1[[#This Row],[Data urodzenia]])/365)</f>
        <v>45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DodajPracownika">
                <anchor moveWithCells="1" sizeWithCells="1">
                  <from>
                    <xdr:col>0</xdr:col>
                    <xdr:colOff>83820</xdr:colOff>
                    <xdr:row>0</xdr:row>
                    <xdr:rowOff>83820</xdr:rowOff>
                  </from>
                  <to>
                    <xdr:col>0</xdr:col>
                    <xdr:colOff>1097280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sunPracownika">
                <anchor moveWithCells="1" sizeWithCells="1">
                  <from>
                    <xdr:col>0</xdr:col>
                    <xdr:colOff>76200</xdr:colOff>
                    <xdr:row>2</xdr:row>
                    <xdr:rowOff>7620</xdr:rowOff>
                  </from>
                  <to>
                    <xdr:col>0</xdr:col>
                    <xdr:colOff>1089660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EDB15-0B73-4C70-8311-978B94437919}">
  <sheetPr codeName="Arkusz8"/>
  <dimension ref="A1:Y29"/>
  <sheetViews>
    <sheetView workbookViewId="0">
      <pane ySplit="2" topLeftCell="A3" activePane="bottomLeft" state="frozen"/>
      <selection pane="bottomLeft" activeCell="C35" sqref="C35"/>
    </sheetView>
  </sheetViews>
  <sheetFormatPr defaultRowHeight="14.4" x14ac:dyDescent="0.3"/>
  <cols>
    <col min="1" max="1" width="5.33203125" customWidth="1"/>
    <col min="2" max="2" width="21.6640625" customWidth="1"/>
    <col min="3" max="4" width="16.33203125" style="7" customWidth="1"/>
    <col min="5" max="5" width="16.33203125" style="12" customWidth="1"/>
    <col min="6" max="8" width="16.33203125" style="7" customWidth="1"/>
    <col min="9" max="9" width="16.33203125" style="12" customWidth="1"/>
    <col min="10" max="10" width="16.33203125" style="7" customWidth="1"/>
    <col min="11" max="11" width="16.33203125" style="12" customWidth="1"/>
    <col min="12" max="14" width="16.33203125" style="7" customWidth="1"/>
    <col min="15" max="16" width="16.33203125" style="12" customWidth="1"/>
    <col min="17" max="17" width="16.33203125" style="7" customWidth="1"/>
    <col min="18" max="18" width="16.33203125" style="12" customWidth="1"/>
    <col min="19" max="21" width="16.33203125" style="13" customWidth="1"/>
    <col min="22" max="22" width="16.33203125" customWidth="1"/>
    <col min="23" max="24" width="16.33203125" style="13" customWidth="1"/>
    <col min="25" max="25" width="16.33203125" customWidth="1"/>
  </cols>
  <sheetData>
    <row r="1" spans="1:25" s="11" customFormat="1" x14ac:dyDescent="0.3">
      <c r="B1" s="35" t="s">
        <v>43</v>
      </c>
      <c r="C1" s="12">
        <f t="shared" ref="C1:R1" si="0">SUM(C3:C300)</f>
        <v>148300</v>
      </c>
      <c r="D1" s="12">
        <f t="shared" si="0"/>
        <v>14830</v>
      </c>
      <c r="E1" s="12">
        <f t="shared" si="0"/>
        <v>163130</v>
      </c>
      <c r="F1" s="12">
        <f t="shared" si="0"/>
        <v>15921.488000000001</v>
      </c>
      <c r="G1" s="12">
        <f t="shared" si="0"/>
        <v>3996.6850000000004</v>
      </c>
      <c r="H1" s="12">
        <f t="shared" si="0"/>
        <v>2446.9499999999998</v>
      </c>
      <c r="I1" s="12">
        <f t="shared" si="0"/>
        <v>22365.123</v>
      </c>
      <c r="J1" s="12">
        <f t="shared" si="0"/>
        <v>140764.87699999995</v>
      </c>
      <c r="K1" s="12">
        <f t="shared" si="0"/>
        <v>12668.838930000004</v>
      </c>
      <c r="L1" s="12">
        <f t="shared" si="0"/>
        <v>7500</v>
      </c>
      <c r="M1" s="12">
        <f t="shared" si="0"/>
        <v>120596.03807000002</v>
      </c>
      <c r="N1" s="12">
        <f t="shared" si="0"/>
        <v>7800</v>
      </c>
      <c r="O1" s="12">
        <f t="shared" si="0"/>
        <v>6671.524568400001</v>
      </c>
      <c r="P1" s="12">
        <f t="shared" si="0"/>
        <v>121424.51350160003</v>
      </c>
      <c r="Q1" s="12">
        <f t="shared" si="0"/>
        <v>1620</v>
      </c>
      <c r="R1" s="12">
        <f t="shared" si="0"/>
        <v>119804.51350160003</v>
      </c>
      <c r="S1" s="12">
        <f t="shared" ref="S1:Y1" si="1">SUM(S3:S300)</f>
        <v>15921.488000000001</v>
      </c>
      <c r="T1" s="12">
        <f t="shared" si="1"/>
        <v>10603.450000000003</v>
      </c>
      <c r="U1" s="12">
        <f t="shared" si="1"/>
        <v>2724.2709999999993</v>
      </c>
      <c r="V1" s="12">
        <f t="shared" si="1"/>
        <v>29249.209000000006</v>
      </c>
      <c r="W1" s="12">
        <f t="shared" ca="1" si="1"/>
        <v>3589.7400000000007</v>
      </c>
      <c r="X1" s="12">
        <f t="shared" ca="1" si="1"/>
        <v>146.51999999999998</v>
      </c>
      <c r="Y1" s="12">
        <f t="shared" ca="1" si="1"/>
        <v>196115.46900000004</v>
      </c>
    </row>
    <row r="2" spans="1:25" s="2" customFormat="1" ht="43.2" x14ac:dyDescent="0.3">
      <c r="A2" s="2" t="s">
        <v>0</v>
      </c>
      <c r="B2" s="2" t="s">
        <v>1</v>
      </c>
      <c r="C2" s="34" t="s">
        <v>6</v>
      </c>
      <c r="D2" s="34" t="s">
        <v>24</v>
      </c>
      <c r="E2" s="37" t="s">
        <v>23</v>
      </c>
      <c r="F2" s="34" t="s">
        <v>151</v>
      </c>
      <c r="G2" s="34" t="s">
        <v>152</v>
      </c>
      <c r="H2" s="34" t="s">
        <v>153</v>
      </c>
      <c r="I2" s="37" t="s">
        <v>28</v>
      </c>
      <c r="J2" s="34" t="s">
        <v>29</v>
      </c>
      <c r="K2" s="37" t="s">
        <v>30</v>
      </c>
      <c r="L2" s="34" t="s">
        <v>31</v>
      </c>
      <c r="M2" s="34" t="s">
        <v>34</v>
      </c>
      <c r="N2" s="34" t="s">
        <v>35</v>
      </c>
      <c r="O2" s="37" t="s">
        <v>36</v>
      </c>
      <c r="P2" s="37" t="s">
        <v>32</v>
      </c>
      <c r="Q2" s="34" t="s">
        <v>9</v>
      </c>
      <c r="R2" s="36" t="s">
        <v>33</v>
      </c>
      <c r="S2" s="39" t="s">
        <v>154</v>
      </c>
      <c r="T2" s="39" t="s">
        <v>155</v>
      </c>
      <c r="U2" s="39" t="s">
        <v>39</v>
      </c>
      <c r="V2" s="2" t="s">
        <v>156</v>
      </c>
      <c r="W2" s="39" t="s">
        <v>41</v>
      </c>
      <c r="X2" s="39" t="s">
        <v>42</v>
      </c>
      <c r="Y2" s="2" t="s">
        <v>157</v>
      </c>
    </row>
    <row r="3" spans="1:25" x14ac:dyDescent="0.3">
      <c r="A3">
        <f>ROW()-2</f>
        <v>1</v>
      </c>
      <c r="B3" t="s">
        <v>55</v>
      </c>
      <c r="C3" s="7">
        <f>VLOOKUP(Tabela5[[#This Row],[Pracownik]],Pracownicy!C:I,7,FALSE)</f>
        <v>4600</v>
      </c>
      <c r="D3" s="7">
        <f>0.1*Tabela5[[#This Row],[Wynagrodzenie]]</f>
        <v>460</v>
      </c>
      <c r="E3" s="12">
        <f>Tabela5[[#This Row],[Wynagrodzenie]]+Tabela5[[#This Row],[Premia 10%]]</f>
        <v>5060</v>
      </c>
      <c r="F3" s="7">
        <f>0.0976*Tabela5[[#This Row],[Brutto]]</f>
        <v>493.85600000000005</v>
      </c>
      <c r="G3" s="7">
        <f>0.0245*Tabela5[[#This Row],[Brutto]]</f>
        <v>123.97</v>
      </c>
      <c r="H3" s="7">
        <f>0.015*Tabela5[[#This Row],[Brutto]]</f>
        <v>75.899999999999991</v>
      </c>
      <c r="I3" s="12">
        <f>SUM(Tabela5[[#This Row],[Składka emerytalna pracownika]:[Składka rentowa pracownika]])</f>
        <v>693.726</v>
      </c>
      <c r="J3" s="7">
        <f>Tabela5[[#This Row],[Brutto]]-Tabela5[[#This Row],[Składki pracownika]]</f>
        <v>4366.2740000000003</v>
      </c>
      <c r="K3" s="12">
        <f>0.09*Tabela5[[#This Row],[Podstawa składki zdrowotnej]]</f>
        <v>392.96466000000004</v>
      </c>
      <c r="L3" s="7">
        <f>IF(VLOOKUP(B3,Pracownik,8,FALSE)="TAK",300,250)</f>
        <v>250</v>
      </c>
      <c r="M3" s="7">
        <f>Tabela5[[#This Row],[Brutto]]-Tabela5[[#This Row],[Składki pracownika]]-Tabela5[[#This Row],[Składka zdrowotna]]-Tabela5[[#This Row],[Koszty uzyskania przychodu]]</f>
        <v>3723.3093400000002</v>
      </c>
      <c r="N3" s="7">
        <f>IF(VLOOKUP(B3,Pracownik,9,FALSE)="TAK",300,0)</f>
        <v>300</v>
      </c>
      <c r="O3" s="12">
        <f>0.12*Tabela5[[#This Row],[Podstawa podatku]]-Tabela5[[#This Row],[Ulga podatkowa]]</f>
        <v>146.79712080000002</v>
      </c>
      <c r="P3" s="12">
        <f>Tabela5[[#This Row],[Brutto]]-Tabela5[[#This Row],[Składki pracownika]]-Tabela5[[#This Row],[Składka zdrowotna]]-Tabela5[[#This Row],[Zaliczka na podatek]]</f>
        <v>3826.5122192000003</v>
      </c>
      <c r="Q3" s="7">
        <f>VLOOKUP(B3,Pracownik,10,FALSE)</f>
        <v>60</v>
      </c>
      <c r="R3" s="12">
        <f>Tabela5[[#This Row],[Netto]]-Tabela5[[#This Row],[Ubezpieczenie]]</f>
        <v>3766.5122192000003</v>
      </c>
      <c r="S3" s="14">
        <f>0.0976*Tabela5[[#This Row],[Brutto]]</f>
        <v>493.85600000000005</v>
      </c>
      <c r="T3" s="14">
        <f>0.065*Tabela5[[#This Row],[Brutto]]</f>
        <v>328.90000000000003</v>
      </c>
      <c r="U3" s="14">
        <f>0.0167*Tabela5[[#This Row],[Brutto]]</f>
        <v>84.501999999999995</v>
      </c>
      <c r="V3" s="38">
        <f>SUM(Tabela5[[#This Row],[Składka emerytalna pracodawcy]:[Składka wypadkowa]])</f>
        <v>907.25800000000004</v>
      </c>
      <c r="W3" s="14">
        <f ca="1">IF(VLOOKUP(B3,DaneDodatkowe!B:J,9,FALSE)="TAK",2.45/100*Tabela5[[#This Row],[Brutto]],0)</f>
        <v>123.97</v>
      </c>
      <c r="X3" s="14">
        <f ca="1">IF(VLOOKUP(B3,DaneDodatkowe!B:J,9,FALSE)="TAK",0.1/100*Tabela5[[#This Row],[Brutto]],0)</f>
        <v>5.0600000000000005</v>
      </c>
      <c r="Y3" s="38">
        <f ca="1">Tabela5[[#This Row],[Brutto]]+Tabela5[[#This Row],[Składki pracodawcy razem]]+Tabela5[[#This Row],[FP]]+Tabela5[[#This Row],[FGŚP]]</f>
        <v>6096.2880000000005</v>
      </c>
    </row>
    <row r="4" spans="1:25" x14ac:dyDescent="0.3">
      <c r="A4">
        <f>ROW()-2</f>
        <v>2</v>
      </c>
      <c r="B4" t="s">
        <v>46</v>
      </c>
      <c r="C4" s="7">
        <f>VLOOKUP(Tabela5[[#This Row],[Pracownik]],Pracownicy!C:I,7,FALSE)</f>
        <v>5500</v>
      </c>
      <c r="D4" s="7">
        <f>0.1*Tabela5[[#This Row],[Wynagrodzenie]]</f>
        <v>550</v>
      </c>
      <c r="E4" s="12">
        <f>Tabela5[[#This Row],[Wynagrodzenie]]+Tabela5[[#This Row],[Premia 10%]]</f>
        <v>6050</v>
      </c>
      <c r="F4" s="7">
        <f>0.0976*Tabela5[[#This Row],[Brutto]]</f>
        <v>590.48</v>
      </c>
      <c r="G4" s="7">
        <f>0.0245*Tabela5[[#This Row],[Brutto]]</f>
        <v>148.22499999999999</v>
      </c>
      <c r="H4" s="7">
        <f>0.015*Tabela5[[#This Row],[Brutto]]</f>
        <v>90.75</v>
      </c>
      <c r="I4" s="12">
        <f>SUM(Tabela5[[#This Row],[Składka emerytalna pracownika]:[Składka rentowa pracownika]])</f>
        <v>829.45500000000004</v>
      </c>
      <c r="J4" s="7">
        <f>Tabela5[[#This Row],[Brutto]]-Tabela5[[#This Row],[Składki pracownika]]</f>
        <v>5220.5450000000001</v>
      </c>
      <c r="K4" s="12">
        <f>0.09*Tabela5[[#This Row],[Podstawa składki zdrowotnej]]</f>
        <v>469.84904999999998</v>
      </c>
      <c r="L4" s="7">
        <f>IF(VLOOKUP(B4,Pracownik,8,FALSE)="TAK",300,250)</f>
        <v>300</v>
      </c>
      <c r="M4" s="7">
        <f>Tabela5[[#This Row],[Brutto]]-Tabela5[[#This Row],[Składki pracownika]]-Tabela5[[#This Row],[Składka zdrowotna]]-Tabela5[[#This Row],[Koszty uzyskania przychodu]]</f>
        <v>4450.6959500000003</v>
      </c>
      <c r="N4" s="7">
        <f>IF(VLOOKUP(B4,Pracownik,9,FALSE)="TAK",300,0)</f>
        <v>300</v>
      </c>
      <c r="O4" s="12">
        <f>0.12*Tabela5[[#This Row],[Podstawa podatku]]-Tabela5[[#This Row],[Ulga podatkowa]]</f>
        <v>234.08351400000004</v>
      </c>
      <c r="P4" s="12">
        <f>Tabela5[[#This Row],[Brutto]]-Tabela5[[#This Row],[Składki pracownika]]-Tabela5[[#This Row],[Składka zdrowotna]]-Tabela5[[#This Row],[Zaliczka na podatek]]</f>
        <v>4516.6124360000003</v>
      </c>
      <c r="Q4" s="7">
        <f>VLOOKUP(B4,Pracownik,10,FALSE)</f>
        <v>60</v>
      </c>
      <c r="R4" s="12">
        <f>Tabela5[[#This Row],[Netto]]-Tabela5[[#This Row],[Ubezpieczenie]]</f>
        <v>4456.6124360000003</v>
      </c>
      <c r="S4" s="14">
        <f>0.0976*Tabela5[[#This Row],[Brutto]]</f>
        <v>590.48</v>
      </c>
      <c r="T4" s="14">
        <f>0.065*Tabela5[[#This Row],[Brutto]]</f>
        <v>393.25</v>
      </c>
      <c r="U4" s="14">
        <f>0.0167*Tabela5[[#This Row],[Brutto]]</f>
        <v>101.035</v>
      </c>
      <c r="V4" s="38">
        <f>SUM(Tabela5[[#This Row],[Składka emerytalna pracodawcy]:[Składka wypadkowa]])</f>
        <v>1084.7650000000001</v>
      </c>
      <c r="W4" s="14">
        <f ca="1">IF(VLOOKUP(B4,DaneDodatkowe!B:J,9,FALSE)="TAK",2.45/100*Tabela5[[#This Row],[Brutto]],0)</f>
        <v>0</v>
      </c>
      <c r="X4" s="14">
        <f ca="1">IF(VLOOKUP(B4,DaneDodatkowe!B:J,9,FALSE)="TAK",0.1/100*Tabela5[[#This Row],[Brutto]],0)</f>
        <v>0</v>
      </c>
      <c r="Y4" s="38">
        <f ca="1">Tabela5[[#This Row],[Brutto]]+Tabela5[[#This Row],[Składki pracodawcy razem]]+Tabela5[[#This Row],[FP]]+Tabela5[[#This Row],[FGŚP]]</f>
        <v>7134.7650000000003</v>
      </c>
    </row>
    <row r="5" spans="1:25" x14ac:dyDescent="0.3">
      <c r="A5">
        <f>ROW()-2</f>
        <v>3</v>
      </c>
      <c r="B5" t="s">
        <v>80</v>
      </c>
      <c r="C5" s="7">
        <f>VLOOKUP(Tabela5[[#This Row],[Pracownik]],Pracownicy!C:I,7,FALSE)</f>
        <v>4800</v>
      </c>
      <c r="D5" s="7">
        <f>0.1*Tabela5[[#This Row],[Wynagrodzenie]]</f>
        <v>480</v>
      </c>
      <c r="E5" s="12">
        <f>Tabela5[[#This Row],[Wynagrodzenie]]+Tabela5[[#This Row],[Premia 10%]]</f>
        <v>5280</v>
      </c>
      <c r="F5" s="7">
        <f>0.0976*Tabela5[[#This Row],[Brutto]]</f>
        <v>515.32800000000009</v>
      </c>
      <c r="G5" s="7">
        <f>0.0245*Tabela5[[#This Row],[Brutto]]</f>
        <v>129.36000000000001</v>
      </c>
      <c r="H5" s="7">
        <f>0.015*Tabela5[[#This Row],[Brutto]]</f>
        <v>79.2</v>
      </c>
      <c r="I5" s="12">
        <f>SUM(Tabela5[[#This Row],[Składka emerytalna pracownika]:[Składka rentowa pracownika]])</f>
        <v>723.88800000000015</v>
      </c>
      <c r="J5" s="7">
        <f>Tabela5[[#This Row],[Brutto]]-Tabela5[[#This Row],[Składki pracownika]]</f>
        <v>4556.1120000000001</v>
      </c>
      <c r="K5" s="12">
        <f>0.09*Tabela5[[#This Row],[Podstawa składki zdrowotnej]]</f>
        <v>410.05007999999998</v>
      </c>
      <c r="L5" s="7">
        <f>IF(VLOOKUP(B5,Pracownik,8,FALSE)="TAK",300,250)</f>
        <v>300</v>
      </c>
      <c r="M5" s="7">
        <f>Tabela5[[#This Row],[Brutto]]-Tabela5[[#This Row],[Składki pracownika]]-Tabela5[[#This Row],[Składka zdrowotna]]-Tabela5[[#This Row],[Koszty uzyskania przychodu]]</f>
        <v>3846.0619200000001</v>
      </c>
      <c r="N5" s="7">
        <f>IF(VLOOKUP(B5,Pracownik,9,FALSE)="TAK",300,0)</f>
        <v>300</v>
      </c>
      <c r="O5" s="12">
        <f>0.12*Tabela5[[#This Row],[Podstawa podatku]]-Tabela5[[#This Row],[Ulga podatkowa]]</f>
        <v>161.52743040000001</v>
      </c>
      <c r="P5" s="12">
        <f>Tabela5[[#This Row],[Brutto]]-Tabela5[[#This Row],[Składki pracownika]]-Tabela5[[#This Row],[Składka zdrowotna]]-Tabela5[[#This Row],[Zaliczka na podatek]]</f>
        <v>3984.5344896000001</v>
      </c>
      <c r="Q5" s="7">
        <f>VLOOKUP(B5,Pracownik,10,FALSE)</f>
        <v>60</v>
      </c>
      <c r="R5" s="12">
        <f>Tabela5[[#This Row],[Netto]]-Tabela5[[#This Row],[Ubezpieczenie]]</f>
        <v>3924.5344896000001</v>
      </c>
      <c r="S5" s="14">
        <f>0.0976*Tabela5[[#This Row],[Brutto]]</f>
        <v>515.32800000000009</v>
      </c>
      <c r="T5" s="14">
        <f>0.065*Tabela5[[#This Row],[Brutto]]</f>
        <v>343.2</v>
      </c>
      <c r="U5" s="14">
        <f>0.0167*Tabela5[[#This Row],[Brutto]]</f>
        <v>88.176000000000002</v>
      </c>
      <c r="V5" s="38">
        <f>SUM(Tabela5[[#This Row],[Składka emerytalna pracodawcy]:[Składka wypadkowa]])</f>
        <v>946.70400000000006</v>
      </c>
      <c r="W5" s="14">
        <f ca="1">IF(VLOOKUP(B5,DaneDodatkowe!B:J,9,FALSE)="TAK",2.45/100*Tabela5[[#This Row],[Brutto]],0)</f>
        <v>129.36000000000001</v>
      </c>
      <c r="X5" s="14">
        <f ca="1">IF(VLOOKUP(B5,DaneDodatkowe!B:J,9,FALSE)="TAK",0.1/100*Tabela5[[#This Row],[Brutto]],0)</f>
        <v>5.28</v>
      </c>
      <c r="Y5" s="38">
        <f ca="1">Tabela5[[#This Row],[Brutto]]+Tabela5[[#This Row],[Składki pracodawcy razem]]+Tabela5[[#This Row],[FP]]+Tabela5[[#This Row],[FGŚP]]</f>
        <v>6361.3439999999991</v>
      </c>
    </row>
    <row r="6" spans="1:25" x14ac:dyDescent="0.3">
      <c r="A6">
        <f>ROW()-2</f>
        <v>4</v>
      </c>
      <c r="B6" t="s">
        <v>93</v>
      </c>
      <c r="C6" s="7">
        <f>VLOOKUP(Tabela5[[#This Row],[Pracownik]],Pracownicy!C:I,7,FALSE)</f>
        <v>4800</v>
      </c>
      <c r="D6" s="7">
        <f>0.1*Tabela5[[#This Row],[Wynagrodzenie]]</f>
        <v>480</v>
      </c>
      <c r="E6" s="12">
        <f>Tabela5[[#This Row],[Wynagrodzenie]]+Tabela5[[#This Row],[Premia 10%]]</f>
        <v>5280</v>
      </c>
      <c r="F6" s="7">
        <f>0.0976*Tabela5[[#This Row],[Brutto]]</f>
        <v>515.32800000000009</v>
      </c>
      <c r="G6" s="7">
        <f>0.0245*Tabela5[[#This Row],[Brutto]]</f>
        <v>129.36000000000001</v>
      </c>
      <c r="H6" s="7">
        <f>0.015*Tabela5[[#This Row],[Brutto]]</f>
        <v>79.2</v>
      </c>
      <c r="I6" s="12">
        <f>SUM(Tabela5[[#This Row],[Składka emerytalna pracownika]:[Składka rentowa pracownika]])</f>
        <v>723.88800000000015</v>
      </c>
      <c r="J6" s="7">
        <f>Tabela5[[#This Row],[Brutto]]-Tabela5[[#This Row],[Składki pracownika]]</f>
        <v>4556.1120000000001</v>
      </c>
      <c r="K6" s="12">
        <f>0.09*Tabela5[[#This Row],[Podstawa składki zdrowotnej]]</f>
        <v>410.05007999999998</v>
      </c>
      <c r="L6" s="7">
        <f>IF(VLOOKUP(B6,Pracownik,8,FALSE)="TAK",300,250)</f>
        <v>300</v>
      </c>
      <c r="M6" s="7">
        <f>Tabela5[[#This Row],[Brutto]]-Tabela5[[#This Row],[Składki pracownika]]-Tabela5[[#This Row],[Składka zdrowotna]]-Tabela5[[#This Row],[Koszty uzyskania przychodu]]</f>
        <v>3846.0619200000001</v>
      </c>
      <c r="N6" s="7">
        <f>IF(VLOOKUP(B6,Pracownik,9,FALSE)="TAK",300,0)</f>
        <v>300</v>
      </c>
      <c r="O6" s="12">
        <f>0.12*Tabela5[[#This Row],[Podstawa podatku]]-Tabela5[[#This Row],[Ulga podatkowa]]</f>
        <v>161.52743040000001</v>
      </c>
      <c r="P6" s="12">
        <f>Tabela5[[#This Row],[Brutto]]-Tabela5[[#This Row],[Składki pracownika]]-Tabela5[[#This Row],[Składka zdrowotna]]-Tabela5[[#This Row],[Zaliczka na podatek]]</f>
        <v>3984.5344896000001</v>
      </c>
      <c r="Q6" s="7">
        <f>VLOOKUP(B6,Pracownik,10,FALSE)</f>
        <v>60</v>
      </c>
      <c r="R6" s="12">
        <f>Tabela5[[#This Row],[Netto]]-Tabela5[[#This Row],[Ubezpieczenie]]</f>
        <v>3924.5344896000001</v>
      </c>
      <c r="S6" s="14">
        <f>0.0976*Tabela5[[#This Row],[Brutto]]</f>
        <v>515.32800000000009</v>
      </c>
      <c r="T6" s="14">
        <f>0.065*Tabela5[[#This Row],[Brutto]]</f>
        <v>343.2</v>
      </c>
      <c r="U6" s="14">
        <f>0.0167*Tabela5[[#This Row],[Brutto]]</f>
        <v>88.176000000000002</v>
      </c>
      <c r="V6" s="38">
        <f>SUM(Tabela5[[#This Row],[Składka emerytalna pracodawcy]:[Składka wypadkowa]])</f>
        <v>946.70400000000006</v>
      </c>
      <c r="W6" s="14">
        <f ca="1">IF(VLOOKUP(B6,DaneDodatkowe!B:J,9,FALSE)="TAK",2.45/100*Tabela5[[#This Row],[Brutto]],0)</f>
        <v>129.36000000000001</v>
      </c>
      <c r="X6" s="14">
        <f ca="1">IF(VLOOKUP(B6,DaneDodatkowe!B:J,9,FALSE)="TAK",0.1/100*Tabela5[[#This Row],[Brutto]],0)</f>
        <v>5.28</v>
      </c>
      <c r="Y6" s="38">
        <f ca="1">Tabela5[[#This Row],[Brutto]]+Tabela5[[#This Row],[Składki pracodawcy razem]]+Tabela5[[#This Row],[FP]]+Tabela5[[#This Row],[FGŚP]]</f>
        <v>6361.3439999999991</v>
      </c>
    </row>
    <row r="7" spans="1:25" x14ac:dyDescent="0.3">
      <c r="A7">
        <f>ROW()-2</f>
        <v>5</v>
      </c>
      <c r="B7" t="s">
        <v>57</v>
      </c>
      <c r="C7" s="7">
        <f>VLOOKUP(Tabela5[[#This Row],[Pracownik]],Pracownicy!C:I,7,FALSE)</f>
        <v>4600</v>
      </c>
      <c r="D7" s="7">
        <f>0.1*Tabela5[[#This Row],[Wynagrodzenie]]</f>
        <v>460</v>
      </c>
      <c r="E7" s="12">
        <f>Tabela5[[#This Row],[Wynagrodzenie]]+Tabela5[[#This Row],[Premia 10%]]</f>
        <v>5060</v>
      </c>
      <c r="F7" s="7">
        <f>0.0976*Tabela5[[#This Row],[Brutto]]</f>
        <v>493.85600000000005</v>
      </c>
      <c r="G7" s="7">
        <f>0.0245*Tabela5[[#This Row],[Brutto]]</f>
        <v>123.97</v>
      </c>
      <c r="H7" s="7">
        <f>0.015*Tabela5[[#This Row],[Brutto]]</f>
        <v>75.899999999999991</v>
      </c>
      <c r="I7" s="12">
        <f>SUM(Tabela5[[#This Row],[Składka emerytalna pracownika]:[Składka rentowa pracownika]])</f>
        <v>693.726</v>
      </c>
      <c r="J7" s="7">
        <f>Tabela5[[#This Row],[Brutto]]-Tabela5[[#This Row],[Składki pracownika]]</f>
        <v>4366.2740000000003</v>
      </c>
      <c r="K7" s="12">
        <f>0.09*Tabela5[[#This Row],[Podstawa składki zdrowotnej]]</f>
        <v>392.96466000000004</v>
      </c>
      <c r="L7" s="7">
        <f>IF(VLOOKUP(B7,Pracownik,8,FALSE)="TAK",300,250)</f>
        <v>250</v>
      </c>
      <c r="M7" s="7">
        <f>Tabela5[[#This Row],[Brutto]]-Tabela5[[#This Row],[Składki pracownika]]-Tabela5[[#This Row],[Składka zdrowotna]]-Tabela5[[#This Row],[Koszty uzyskania przychodu]]</f>
        <v>3723.3093400000002</v>
      </c>
      <c r="N7" s="7">
        <f>IF(VLOOKUP(B7,Pracownik,9,FALSE)="TAK",300,0)</f>
        <v>300</v>
      </c>
      <c r="O7" s="12">
        <f>0.12*Tabela5[[#This Row],[Podstawa podatku]]-Tabela5[[#This Row],[Ulga podatkowa]]</f>
        <v>146.79712080000002</v>
      </c>
      <c r="P7" s="12">
        <f>Tabela5[[#This Row],[Brutto]]-Tabela5[[#This Row],[Składki pracownika]]-Tabela5[[#This Row],[Składka zdrowotna]]-Tabela5[[#This Row],[Zaliczka na podatek]]</f>
        <v>3826.5122192000003</v>
      </c>
      <c r="Q7" s="7">
        <f>VLOOKUP(B7,Pracownik,10,FALSE)</f>
        <v>0</v>
      </c>
      <c r="R7" s="12">
        <f>Tabela5[[#This Row],[Netto]]-Tabela5[[#This Row],[Ubezpieczenie]]</f>
        <v>3826.5122192000003</v>
      </c>
      <c r="S7" s="14">
        <f>0.0976*Tabela5[[#This Row],[Brutto]]</f>
        <v>493.85600000000005</v>
      </c>
      <c r="T7" s="14">
        <f>0.065*Tabela5[[#This Row],[Brutto]]</f>
        <v>328.90000000000003</v>
      </c>
      <c r="U7" s="14">
        <f>0.0167*Tabela5[[#This Row],[Brutto]]</f>
        <v>84.501999999999995</v>
      </c>
      <c r="V7" s="38">
        <f>SUM(Tabela5[[#This Row],[Składka emerytalna pracodawcy]:[Składka wypadkowa]])</f>
        <v>907.25800000000004</v>
      </c>
      <c r="W7" s="14">
        <f ca="1">IF(VLOOKUP(B7,DaneDodatkowe!B:J,9,FALSE)="TAK",2.45/100*Tabela5[[#This Row],[Brutto]],0)</f>
        <v>123.97</v>
      </c>
      <c r="X7" s="14">
        <f ca="1">IF(VLOOKUP(B7,DaneDodatkowe!B:J,9,FALSE)="TAK",0.1/100*Tabela5[[#This Row],[Brutto]],0)</f>
        <v>5.0600000000000005</v>
      </c>
      <c r="Y7" s="38">
        <f ca="1">Tabela5[[#This Row],[Brutto]]+Tabela5[[#This Row],[Składki pracodawcy razem]]+Tabela5[[#This Row],[FP]]+Tabela5[[#This Row],[FGŚP]]</f>
        <v>6096.2880000000005</v>
      </c>
    </row>
    <row r="8" spans="1:25" x14ac:dyDescent="0.3">
      <c r="A8">
        <f>ROW()-2</f>
        <v>6</v>
      </c>
      <c r="B8" t="s">
        <v>18</v>
      </c>
      <c r="C8" s="7">
        <f>VLOOKUP(Tabela5[[#This Row],[Pracownik]],Pracownicy!C:I,7,FALSE)</f>
        <v>4500</v>
      </c>
      <c r="D8" s="7">
        <f>0.1*Tabela5[[#This Row],[Wynagrodzenie]]</f>
        <v>450</v>
      </c>
      <c r="E8" s="12">
        <f>Tabela5[[#This Row],[Wynagrodzenie]]+Tabela5[[#This Row],[Premia 10%]]</f>
        <v>4950</v>
      </c>
      <c r="F8" s="7">
        <f>0.0976*Tabela5[[#This Row],[Brutto]]</f>
        <v>483.12</v>
      </c>
      <c r="G8" s="7">
        <f>0.0245*Tabela5[[#This Row],[Brutto]]</f>
        <v>121.27500000000001</v>
      </c>
      <c r="H8" s="7">
        <f>0.015*Tabela5[[#This Row],[Brutto]]</f>
        <v>74.25</v>
      </c>
      <c r="I8" s="12">
        <f>SUM(Tabela5[[#This Row],[Składka emerytalna pracownika]:[Składka rentowa pracownika]])</f>
        <v>678.64499999999998</v>
      </c>
      <c r="J8" s="7">
        <f>Tabela5[[#This Row],[Brutto]]-Tabela5[[#This Row],[Składki pracownika]]</f>
        <v>4271.3549999999996</v>
      </c>
      <c r="K8" s="12">
        <f>0.09*Tabela5[[#This Row],[Podstawa składki zdrowotnej]]</f>
        <v>384.42194999999992</v>
      </c>
      <c r="L8" s="7">
        <f>IF(VLOOKUP(B8,Pracownik,8,FALSE)="TAK",300,250)</f>
        <v>300</v>
      </c>
      <c r="M8" s="7">
        <f>Tabela5[[#This Row],[Brutto]]-Tabela5[[#This Row],[Składki pracownika]]-Tabela5[[#This Row],[Składka zdrowotna]]-Tabela5[[#This Row],[Koszty uzyskania przychodu]]</f>
        <v>3586.9330499999996</v>
      </c>
      <c r="N8" s="7">
        <f>IF(VLOOKUP(B8,Pracownik,9,FALSE)="TAK",300,0)</f>
        <v>300</v>
      </c>
      <c r="O8" s="12">
        <f>0.12*Tabela5[[#This Row],[Podstawa podatku]]-Tabela5[[#This Row],[Ulga podatkowa]]</f>
        <v>130.43196599999993</v>
      </c>
      <c r="P8" s="12">
        <f>Tabela5[[#This Row],[Brutto]]-Tabela5[[#This Row],[Składki pracownika]]-Tabela5[[#This Row],[Składka zdrowotna]]-Tabela5[[#This Row],[Zaliczka na podatek]]</f>
        <v>3756.5010839999995</v>
      </c>
      <c r="Q8" s="7">
        <f>VLOOKUP(B8,Pracownik,10,FALSE)</f>
        <v>60</v>
      </c>
      <c r="R8" s="12">
        <f>Tabela5[[#This Row],[Netto]]-Tabela5[[#This Row],[Ubezpieczenie]]</f>
        <v>3696.5010839999995</v>
      </c>
      <c r="S8" s="14">
        <f>0.0976*Tabela5[[#This Row],[Brutto]]</f>
        <v>483.12</v>
      </c>
      <c r="T8" s="14">
        <f>0.065*Tabela5[[#This Row],[Brutto]]</f>
        <v>321.75</v>
      </c>
      <c r="U8" s="14">
        <f>0.0167*Tabela5[[#This Row],[Brutto]]</f>
        <v>82.664999999999992</v>
      </c>
      <c r="V8" s="38">
        <f>SUM(Tabela5[[#This Row],[Składka emerytalna pracodawcy]:[Składka wypadkowa]])</f>
        <v>887.53499999999997</v>
      </c>
      <c r="W8" s="14">
        <f ca="1">IF(VLOOKUP(B8,DaneDodatkowe!B:J,9,FALSE)="TAK",2.45/100*Tabela5[[#This Row],[Brutto]],0)</f>
        <v>121.27500000000001</v>
      </c>
      <c r="X8" s="14">
        <f ca="1">IF(VLOOKUP(B8,DaneDodatkowe!B:J,9,FALSE)="TAK",0.1/100*Tabela5[[#This Row],[Brutto]],0)</f>
        <v>4.95</v>
      </c>
      <c r="Y8" s="38">
        <f ca="1">Tabela5[[#This Row],[Brutto]]+Tabela5[[#This Row],[Składki pracodawcy razem]]+Tabela5[[#This Row],[FP]]+Tabela5[[#This Row],[FGŚP]]</f>
        <v>5963.7599999999993</v>
      </c>
    </row>
    <row r="9" spans="1:25" x14ac:dyDescent="0.3">
      <c r="A9">
        <f>ROW()-2</f>
        <v>7</v>
      </c>
      <c r="B9" t="s">
        <v>58</v>
      </c>
      <c r="C9" s="7">
        <f>VLOOKUP(Tabela5[[#This Row],[Pracownik]],Pracownicy!C:I,7,FALSE)</f>
        <v>5000</v>
      </c>
      <c r="D9" s="7">
        <f>0.1*Tabela5[[#This Row],[Wynagrodzenie]]</f>
        <v>500</v>
      </c>
      <c r="E9" s="12">
        <f>Tabela5[[#This Row],[Wynagrodzenie]]+Tabela5[[#This Row],[Premia 10%]]</f>
        <v>5500</v>
      </c>
      <c r="F9" s="7">
        <f>0.0976*Tabela5[[#This Row],[Brutto]]</f>
        <v>536.80000000000007</v>
      </c>
      <c r="G9" s="7">
        <f>0.0245*Tabela5[[#This Row],[Brutto]]</f>
        <v>134.75</v>
      </c>
      <c r="H9" s="7">
        <f>0.015*Tabela5[[#This Row],[Brutto]]</f>
        <v>82.5</v>
      </c>
      <c r="I9" s="12">
        <f>SUM(Tabela5[[#This Row],[Składka emerytalna pracownika]:[Składka rentowa pracownika]])</f>
        <v>754.05000000000007</v>
      </c>
      <c r="J9" s="7">
        <f>Tabela5[[#This Row],[Brutto]]-Tabela5[[#This Row],[Składki pracownika]]</f>
        <v>4745.95</v>
      </c>
      <c r="K9" s="12">
        <f>0.09*Tabela5[[#This Row],[Podstawa składki zdrowotnej]]</f>
        <v>427.13549999999998</v>
      </c>
      <c r="L9" s="7">
        <f>IF(VLOOKUP(B9,Pracownik,8,FALSE)="TAK",300,250)</f>
        <v>250</v>
      </c>
      <c r="M9" s="7">
        <f>Tabela5[[#This Row],[Brutto]]-Tabela5[[#This Row],[Składki pracownika]]-Tabela5[[#This Row],[Składka zdrowotna]]-Tabela5[[#This Row],[Koszty uzyskania przychodu]]</f>
        <v>4068.8144999999995</v>
      </c>
      <c r="N9" s="7">
        <f>IF(VLOOKUP(B9,Pracownik,9,FALSE)="TAK",300,0)</f>
        <v>300</v>
      </c>
      <c r="O9" s="12">
        <f>0.12*Tabela5[[#This Row],[Podstawa podatku]]-Tabela5[[#This Row],[Ulga podatkowa]]</f>
        <v>188.2577399999999</v>
      </c>
      <c r="P9" s="12">
        <f>Tabela5[[#This Row],[Brutto]]-Tabela5[[#This Row],[Składki pracownika]]-Tabela5[[#This Row],[Składka zdrowotna]]-Tabela5[[#This Row],[Zaliczka na podatek]]</f>
        <v>4130.5567599999995</v>
      </c>
      <c r="Q9" s="7">
        <f>VLOOKUP(B9,Pracownik,10,FALSE)</f>
        <v>0</v>
      </c>
      <c r="R9" s="12">
        <f>Tabela5[[#This Row],[Netto]]-Tabela5[[#This Row],[Ubezpieczenie]]</f>
        <v>4130.5567599999995</v>
      </c>
      <c r="S9" s="14">
        <f>0.0976*Tabela5[[#This Row],[Brutto]]</f>
        <v>536.80000000000007</v>
      </c>
      <c r="T9" s="14">
        <f>0.065*Tabela5[[#This Row],[Brutto]]</f>
        <v>357.5</v>
      </c>
      <c r="U9" s="14">
        <f>0.0167*Tabela5[[#This Row],[Brutto]]</f>
        <v>91.85</v>
      </c>
      <c r="V9" s="38">
        <f>SUM(Tabela5[[#This Row],[Składka emerytalna pracodawcy]:[Składka wypadkowa]])</f>
        <v>986.15000000000009</v>
      </c>
      <c r="W9" s="14">
        <f ca="1">IF(VLOOKUP(B9,DaneDodatkowe!B:J,9,FALSE)="TAK",2.45/100*Tabela5[[#This Row],[Brutto]],0)</f>
        <v>134.75</v>
      </c>
      <c r="X9" s="14">
        <f ca="1">IF(VLOOKUP(B9,DaneDodatkowe!B:J,9,FALSE)="TAK",0.1/100*Tabela5[[#This Row],[Brutto]],0)</f>
        <v>5.5</v>
      </c>
      <c r="Y9" s="38">
        <f ca="1">Tabela5[[#This Row],[Brutto]]+Tabela5[[#This Row],[Składki pracodawcy razem]]+Tabela5[[#This Row],[FP]]+Tabela5[[#This Row],[FGŚP]]</f>
        <v>6626.4</v>
      </c>
    </row>
    <row r="10" spans="1:25" x14ac:dyDescent="0.3">
      <c r="A10">
        <f>ROW()-2</f>
        <v>8</v>
      </c>
      <c r="B10" t="s">
        <v>65</v>
      </c>
      <c r="C10" s="7">
        <f>VLOOKUP(Tabela5[[#This Row],[Pracownik]],Pracownicy!C:I,7,FALSE)</f>
        <v>5500</v>
      </c>
      <c r="D10" s="7">
        <f>0.1*Tabela5[[#This Row],[Wynagrodzenie]]</f>
        <v>550</v>
      </c>
      <c r="E10" s="12">
        <f>Tabela5[[#This Row],[Wynagrodzenie]]+Tabela5[[#This Row],[Premia 10%]]</f>
        <v>6050</v>
      </c>
      <c r="F10" s="7">
        <f>0.0976*Tabela5[[#This Row],[Brutto]]</f>
        <v>590.48</v>
      </c>
      <c r="G10" s="7">
        <f>0.0245*Tabela5[[#This Row],[Brutto]]</f>
        <v>148.22499999999999</v>
      </c>
      <c r="H10" s="7">
        <f>0.015*Tabela5[[#This Row],[Brutto]]</f>
        <v>90.75</v>
      </c>
      <c r="I10" s="12">
        <f>SUM(Tabela5[[#This Row],[Składka emerytalna pracownika]:[Składka rentowa pracownika]])</f>
        <v>829.45500000000004</v>
      </c>
      <c r="J10" s="7">
        <f>Tabela5[[#This Row],[Brutto]]-Tabela5[[#This Row],[Składki pracownika]]</f>
        <v>5220.5450000000001</v>
      </c>
      <c r="K10" s="12">
        <f>0.09*Tabela5[[#This Row],[Podstawa składki zdrowotnej]]</f>
        <v>469.84904999999998</v>
      </c>
      <c r="L10" s="7">
        <f>IF(VLOOKUP(B10,Pracownik,8,FALSE)="TAK",300,250)</f>
        <v>250</v>
      </c>
      <c r="M10" s="7">
        <f>Tabela5[[#This Row],[Brutto]]-Tabela5[[#This Row],[Składki pracownika]]-Tabela5[[#This Row],[Składka zdrowotna]]-Tabela5[[#This Row],[Koszty uzyskania przychodu]]</f>
        <v>4500.6959500000003</v>
      </c>
      <c r="N10" s="7">
        <f>IF(VLOOKUP(B10,Pracownik,9,FALSE)="TAK",300,0)</f>
        <v>300</v>
      </c>
      <c r="O10" s="12">
        <f>0.12*Tabela5[[#This Row],[Podstawa podatku]]-Tabela5[[#This Row],[Ulga podatkowa]]</f>
        <v>240.08351400000004</v>
      </c>
      <c r="P10" s="12">
        <f>Tabela5[[#This Row],[Brutto]]-Tabela5[[#This Row],[Składki pracownika]]-Tabela5[[#This Row],[Składka zdrowotna]]-Tabela5[[#This Row],[Zaliczka na podatek]]</f>
        <v>4510.6124360000003</v>
      </c>
      <c r="Q10" s="7">
        <f>VLOOKUP(B10,Pracownik,10,FALSE)</f>
        <v>60</v>
      </c>
      <c r="R10" s="12">
        <f>Tabela5[[#This Row],[Netto]]-Tabela5[[#This Row],[Ubezpieczenie]]</f>
        <v>4450.6124360000003</v>
      </c>
      <c r="S10" s="14">
        <f>0.0976*Tabela5[[#This Row],[Brutto]]</f>
        <v>590.48</v>
      </c>
      <c r="T10" s="14">
        <f>0.065*Tabela5[[#This Row],[Brutto]]</f>
        <v>393.25</v>
      </c>
      <c r="U10" s="14">
        <f>0.0167*Tabela5[[#This Row],[Brutto]]</f>
        <v>101.035</v>
      </c>
      <c r="V10" s="38">
        <f>SUM(Tabela5[[#This Row],[Składka emerytalna pracodawcy]:[Składka wypadkowa]])</f>
        <v>1084.7650000000001</v>
      </c>
      <c r="W10" s="14">
        <f ca="1">IF(VLOOKUP(B10,DaneDodatkowe!B:J,9,FALSE)="TAK",2.45/100*Tabela5[[#This Row],[Brutto]],0)</f>
        <v>148.22499999999999</v>
      </c>
      <c r="X10" s="14">
        <f ca="1">IF(VLOOKUP(B10,DaneDodatkowe!B:J,9,FALSE)="TAK",0.1/100*Tabela5[[#This Row],[Brutto]],0)</f>
        <v>6.05</v>
      </c>
      <c r="Y10" s="38">
        <f ca="1">Tabela5[[#This Row],[Brutto]]+Tabela5[[#This Row],[Składki pracodawcy razem]]+Tabela5[[#This Row],[FP]]+Tabela5[[#This Row],[FGŚP]]</f>
        <v>7289.0400000000009</v>
      </c>
    </row>
    <row r="11" spans="1:25" x14ac:dyDescent="0.3">
      <c r="A11">
        <f>ROW()-2</f>
        <v>9</v>
      </c>
      <c r="B11" t="s">
        <v>149</v>
      </c>
      <c r="C11" s="7">
        <f>VLOOKUP(Tabela5[[#This Row],[Pracownik]],Pracownicy!C:I,7,FALSE)</f>
        <v>4900</v>
      </c>
      <c r="D11" s="7">
        <f>0.1*Tabela5[[#This Row],[Wynagrodzenie]]</f>
        <v>490</v>
      </c>
      <c r="E11" s="12">
        <f>Tabela5[[#This Row],[Wynagrodzenie]]+Tabela5[[#This Row],[Premia 10%]]</f>
        <v>5390</v>
      </c>
      <c r="F11" s="7">
        <f>0.0976*Tabela5[[#This Row],[Brutto]]</f>
        <v>526.06400000000008</v>
      </c>
      <c r="G11" s="7">
        <f>0.0245*Tabela5[[#This Row],[Brutto]]</f>
        <v>132.05500000000001</v>
      </c>
      <c r="H11" s="7">
        <f>0.015*Tabela5[[#This Row],[Brutto]]</f>
        <v>80.849999999999994</v>
      </c>
      <c r="I11" s="12">
        <f>SUM(Tabela5[[#This Row],[Składka emerytalna pracownika]:[Składka rentowa pracownika]])</f>
        <v>738.96900000000016</v>
      </c>
      <c r="J11" s="7">
        <f>Tabela5[[#This Row],[Brutto]]-Tabela5[[#This Row],[Składki pracownika]]</f>
        <v>4651.0309999999999</v>
      </c>
      <c r="K11" s="12">
        <f>0.09*Tabela5[[#This Row],[Podstawa składki zdrowotnej]]</f>
        <v>418.59278999999998</v>
      </c>
      <c r="L11" s="7">
        <f>IF(VLOOKUP(B11,Pracownik,8,FALSE)="TAK",300,250)</f>
        <v>250</v>
      </c>
      <c r="M11" s="7">
        <f>Tabela5[[#This Row],[Brutto]]-Tabela5[[#This Row],[Składki pracownika]]-Tabela5[[#This Row],[Składka zdrowotna]]-Tabela5[[#This Row],[Koszty uzyskania przychodu]]</f>
        <v>3982.4382100000003</v>
      </c>
      <c r="N11" s="7">
        <f>IF(VLOOKUP(B11,Pracownik,9,FALSE)="TAK",300,0)</f>
        <v>300</v>
      </c>
      <c r="O11" s="12">
        <f>0.12*Tabela5[[#This Row],[Podstawa podatku]]-Tabela5[[#This Row],[Ulga podatkowa]]</f>
        <v>177.89258519999998</v>
      </c>
      <c r="P11" s="12">
        <f>Tabela5[[#This Row],[Brutto]]-Tabela5[[#This Row],[Składki pracownika]]-Tabela5[[#This Row],[Składka zdrowotna]]-Tabela5[[#This Row],[Zaliczka na podatek]]</f>
        <v>4054.5456248</v>
      </c>
      <c r="Q11" s="7">
        <f>VLOOKUP(B11,Pracownik,10,FALSE)</f>
        <v>60</v>
      </c>
      <c r="R11" s="12">
        <f>Tabela5[[#This Row],[Netto]]-Tabela5[[#This Row],[Ubezpieczenie]]</f>
        <v>3994.5456248</v>
      </c>
      <c r="S11" s="14">
        <f>0.0976*Tabela5[[#This Row],[Brutto]]</f>
        <v>526.06400000000008</v>
      </c>
      <c r="T11" s="14">
        <f>0.065*Tabela5[[#This Row],[Brutto]]</f>
        <v>350.35</v>
      </c>
      <c r="U11" s="14">
        <f>0.0167*Tabela5[[#This Row],[Brutto]]</f>
        <v>90.012999999999991</v>
      </c>
      <c r="V11" s="38">
        <f>SUM(Tabela5[[#This Row],[Składka emerytalna pracodawcy]:[Składka wypadkowa]])</f>
        <v>966.42700000000013</v>
      </c>
      <c r="W11" s="14">
        <f ca="1">IF(VLOOKUP(B11,DaneDodatkowe!B:J,9,FALSE)="TAK",2.45/100*Tabela5[[#This Row],[Brutto]],0)</f>
        <v>132.05500000000001</v>
      </c>
      <c r="X11" s="14">
        <f ca="1">IF(VLOOKUP(B11,DaneDodatkowe!B:J,9,FALSE)="TAK",0.1/100*Tabela5[[#This Row],[Brutto]],0)</f>
        <v>5.39</v>
      </c>
      <c r="Y11" s="38">
        <f ca="1">Tabela5[[#This Row],[Brutto]]+Tabela5[[#This Row],[Składki pracodawcy razem]]+Tabela5[[#This Row],[FP]]+Tabela5[[#This Row],[FGŚP]]</f>
        <v>6493.8720000000003</v>
      </c>
    </row>
    <row r="12" spans="1:25" x14ac:dyDescent="0.3">
      <c r="A12">
        <f>ROW()-2</f>
        <v>10</v>
      </c>
      <c r="B12" t="s">
        <v>12</v>
      </c>
      <c r="C12" s="7">
        <f>VLOOKUP(Tabela5[[#This Row],[Pracownik]],Pracownicy!C:I,7,FALSE)</f>
        <v>6000</v>
      </c>
      <c r="D12" s="7">
        <f>0.1*Tabela5[[#This Row],[Wynagrodzenie]]</f>
        <v>600</v>
      </c>
      <c r="E12" s="12">
        <f>Tabela5[[#This Row],[Wynagrodzenie]]+Tabela5[[#This Row],[Premia 10%]]</f>
        <v>6600</v>
      </c>
      <c r="F12" s="7">
        <f>0.0976*Tabela5[[#This Row],[Brutto]]</f>
        <v>644.16000000000008</v>
      </c>
      <c r="G12" s="7">
        <f>0.0245*Tabela5[[#This Row],[Brutto]]</f>
        <v>161.70000000000002</v>
      </c>
      <c r="H12" s="7">
        <f>0.015*Tabela5[[#This Row],[Brutto]]</f>
        <v>99</v>
      </c>
      <c r="I12" s="12">
        <f>SUM(Tabela5[[#This Row],[Składka emerytalna pracownika]:[Składka rentowa pracownika]])</f>
        <v>904.86000000000013</v>
      </c>
      <c r="J12" s="7">
        <f>Tabela5[[#This Row],[Brutto]]-Tabela5[[#This Row],[Składki pracownika]]</f>
        <v>5695.1399999999994</v>
      </c>
      <c r="K12" s="12">
        <f>0.09*Tabela5[[#This Row],[Podstawa składki zdrowotnej]]</f>
        <v>512.56259999999997</v>
      </c>
      <c r="L12" s="7">
        <f>IF(VLOOKUP(B12,Pracownik,8,FALSE)="TAK",300,250)</f>
        <v>300</v>
      </c>
      <c r="M12" s="7">
        <f>Tabela5[[#This Row],[Brutto]]-Tabela5[[#This Row],[Składki pracownika]]-Tabela5[[#This Row],[Składka zdrowotna]]-Tabela5[[#This Row],[Koszty uzyskania przychodu]]</f>
        <v>4882.5773999999992</v>
      </c>
      <c r="N12" s="7">
        <f>IF(VLOOKUP(B12,Pracownik,9,FALSE)="TAK",300,0)</f>
        <v>300</v>
      </c>
      <c r="O12" s="12">
        <f>0.12*Tabela5[[#This Row],[Podstawa podatku]]-Tabela5[[#This Row],[Ulga podatkowa]]</f>
        <v>285.90928799999983</v>
      </c>
      <c r="P12" s="12">
        <f>Tabela5[[#This Row],[Brutto]]-Tabela5[[#This Row],[Składki pracownika]]-Tabela5[[#This Row],[Składka zdrowotna]]-Tabela5[[#This Row],[Zaliczka na podatek]]</f>
        <v>4896.6681119999994</v>
      </c>
      <c r="Q12" s="7">
        <f>VLOOKUP(B12,Pracownik,10,FALSE)</f>
        <v>60</v>
      </c>
      <c r="R12" s="12">
        <f>Tabela5[[#This Row],[Netto]]-Tabela5[[#This Row],[Ubezpieczenie]]</f>
        <v>4836.6681119999994</v>
      </c>
      <c r="S12" s="14">
        <f>0.0976*Tabela5[[#This Row],[Brutto]]</f>
        <v>644.16000000000008</v>
      </c>
      <c r="T12" s="14">
        <f>0.065*Tabela5[[#This Row],[Brutto]]</f>
        <v>429</v>
      </c>
      <c r="U12" s="14">
        <f>0.0167*Tabela5[[#This Row],[Brutto]]</f>
        <v>110.22</v>
      </c>
      <c r="V12" s="38">
        <f>SUM(Tabela5[[#This Row],[Składka emerytalna pracodawcy]:[Składka wypadkowa]])</f>
        <v>1183.3800000000001</v>
      </c>
      <c r="W12" s="14">
        <f ca="1">IF(VLOOKUP(B12,DaneDodatkowe!B:J,9,FALSE)="TAK",2.45/100*Tabela5[[#This Row],[Brutto]],0)</f>
        <v>161.70000000000002</v>
      </c>
      <c r="X12" s="14">
        <f ca="1">IF(VLOOKUP(B12,DaneDodatkowe!B:J,9,FALSE)="TAK",0.1/100*Tabela5[[#This Row],[Brutto]],0)</f>
        <v>6.6000000000000005</v>
      </c>
      <c r="Y12" s="38">
        <f ca="1">Tabela5[[#This Row],[Brutto]]+Tabela5[[#This Row],[Składki pracodawcy razem]]+Tabela5[[#This Row],[FP]]+Tabela5[[#This Row],[FGŚP]]</f>
        <v>7951.68</v>
      </c>
    </row>
    <row r="13" spans="1:25" x14ac:dyDescent="0.3">
      <c r="A13" s="43">
        <f>ROW()-2</f>
        <v>11</v>
      </c>
      <c r="B13" t="s">
        <v>158</v>
      </c>
      <c r="C13" s="7">
        <f>VLOOKUP(Tabela5[[#This Row],[Pracownik]],Pracownicy!C:I,7,FALSE)</f>
        <v>4800</v>
      </c>
      <c r="D13" s="7">
        <f>0.1*Tabela5[[#This Row],[Wynagrodzenie]]</f>
        <v>480</v>
      </c>
      <c r="E13" s="12">
        <f>Tabela5[[#This Row],[Wynagrodzenie]]+Tabela5[[#This Row],[Premia 10%]]</f>
        <v>5280</v>
      </c>
      <c r="F13" s="7">
        <f>0.0976*Tabela5[[#This Row],[Brutto]]</f>
        <v>515.32800000000009</v>
      </c>
      <c r="G13" s="7">
        <f>0.0245*Tabela5[[#This Row],[Brutto]]</f>
        <v>129.36000000000001</v>
      </c>
      <c r="H13" s="7">
        <f>0.015*Tabela5[[#This Row],[Brutto]]</f>
        <v>79.2</v>
      </c>
      <c r="I13" s="12">
        <f>SUM(Tabela5[[#This Row],[Składka emerytalna pracownika]:[Składka rentowa pracownika]])</f>
        <v>723.88800000000015</v>
      </c>
      <c r="J13" s="7">
        <f>Tabela5[[#This Row],[Brutto]]-Tabela5[[#This Row],[Składki pracownika]]</f>
        <v>4556.1120000000001</v>
      </c>
      <c r="K13" s="12">
        <f>0.09*Tabela5[[#This Row],[Podstawa składki zdrowotnej]]</f>
        <v>410.05007999999998</v>
      </c>
      <c r="L13" s="7">
        <f>IF(VLOOKUP(B13,Pracownik,8,FALSE)="TAK",300,250)</f>
        <v>250</v>
      </c>
      <c r="M13" s="7">
        <f>Tabela5[[#This Row],[Brutto]]-Tabela5[[#This Row],[Składki pracownika]]-Tabela5[[#This Row],[Składka zdrowotna]]-Tabela5[[#This Row],[Koszty uzyskania przychodu]]</f>
        <v>3896.0619200000001</v>
      </c>
      <c r="N13" s="7">
        <f>IF(VLOOKUP(B13,Pracownik,9,FALSE)="TAK",300,0)</f>
        <v>300</v>
      </c>
      <c r="O13" s="12">
        <f>0.12*Tabela5[[#This Row],[Podstawa podatku]]-Tabela5[[#This Row],[Ulga podatkowa]]</f>
        <v>167.52743040000001</v>
      </c>
      <c r="P13" s="12">
        <f>Tabela5[[#This Row],[Brutto]]-Tabela5[[#This Row],[Składki pracownika]]-Tabela5[[#This Row],[Składka zdrowotna]]-Tabela5[[#This Row],[Zaliczka na podatek]]</f>
        <v>3978.5344896000001</v>
      </c>
      <c r="Q13" s="7">
        <f>VLOOKUP(B13,Pracownik,10,FALSE)</f>
        <v>60</v>
      </c>
      <c r="R13" s="12">
        <f>Tabela5[[#This Row],[Netto]]-Tabela5[[#This Row],[Ubezpieczenie]]</f>
        <v>3918.5344896000001</v>
      </c>
      <c r="S13" s="44">
        <f>0.0976*Tabela5[[#This Row],[Brutto]]</f>
        <v>515.32800000000009</v>
      </c>
      <c r="T13" s="44">
        <f>0.065*Tabela5[[#This Row],[Brutto]]</f>
        <v>343.2</v>
      </c>
      <c r="U13" s="44">
        <f>0.0167*Tabela5[[#This Row],[Brutto]]</f>
        <v>88.176000000000002</v>
      </c>
      <c r="V13" s="45">
        <f>SUM(Tabela5[[#This Row],[Składka emerytalna pracodawcy]:[Składka wypadkowa]])</f>
        <v>946.70400000000006</v>
      </c>
      <c r="W13" s="44">
        <f ca="1">IF(VLOOKUP(B13,DaneDodatkowe!B:J,9,FALSE)="TAK",2.45/100*Tabela5[[#This Row],[Brutto]],0)</f>
        <v>0</v>
      </c>
      <c r="X13" s="44">
        <f ca="1">IF(VLOOKUP(B13,DaneDodatkowe!B:J,9,FALSE)="TAK",0.1/100*Tabela5[[#This Row],[Brutto]],0)</f>
        <v>0</v>
      </c>
      <c r="Y13" s="45">
        <f ca="1">Tabela5[[#This Row],[Brutto]]+Tabela5[[#This Row],[Składki pracodawcy razem]]+Tabela5[[#This Row],[FP]]+Tabela5[[#This Row],[FGŚP]]</f>
        <v>6226.7039999999997</v>
      </c>
    </row>
    <row r="14" spans="1:25" x14ac:dyDescent="0.3">
      <c r="A14">
        <f>ROW()-2</f>
        <v>12</v>
      </c>
      <c r="B14" t="s">
        <v>45</v>
      </c>
      <c r="C14" s="7">
        <f>VLOOKUP(Tabela5[[#This Row],[Pracownik]],Pracownicy!C:I,7,FALSE)</f>
        <v>5500</v>
      </c>
      <c r="D14" s="7">
        <f>0.1*Tabela5[[#This Row],[Wynagrodzenie]]</f>
        <v>550</v>
      </c>
      <c r="E14" s="12">
        <f>Tabela5[[#This Row],[Wynagrodzenie]]+Tabela5[[#This Row],[Premia 10%]]</f>
        <v>6050</v>
      </c>
      <c r="F14" s="7">
        <f>0.0976*Tabela5[[#This Row],[Brutto]]</f>
        <v>590.48</v>
      </c>
      <c r="G14" s="7">
        <f>0.0245*Tabela5[[#This Row],[Brutto]]</f>
        <v>148.22499999999999</v>
      </c>
      <c r="H14" s="7">
        <f>0.015*Tabela5[[#This Row],[Brutto]]</f>
        <v>90.75</v>
      </c>
      <c r="I14" s="12">
        <f>SUM(Tabela5[[#This Row],[Składka emerytalna pracownika]:[Składka rentowa pracownika]])</f>
        <v>829.45500000000004</v>
      </c>
      <c r="J14" s="7">
        <f>Tabela5[[#This Row],[Brutto]]-Tabela5[[#This Row],[Składki pracownika]]</f>
        <v>5220.5450000000001</v>
      </c>
      <c r="K14" s="12">
        <f>0.09*Tabela5[[#This Row],[Podstawa składki zdrowotnej]]</f>
        <v>469.84904999999998</v>
      </c>
      <c r="L14" s="7">
        <f>IF(VLOOKUP(B14,Pracownik,8,FALSE)="TAK",300,250)</f>
        <v>300</v>
      </c>
      <c r="M14" s="7">
        <f>Tabela5[[#This Row],[Brutto]]-Tabela5[[#This Row],[Składki pracownika]]-Tabela5[[#This Row],[Składka zdrowotna]]-Tabela5[[#This Row],[Koszty uzyskania przychodu]]</f>
        <v>4450.6959500000003</v>
      </c>
      <c r="N14" s="7">
        <f>IF(VLOOKUP(B14,Pracownik,9,FALSE)="TAK",300,0)</f>
        <v>300</v>
      </c>
      <c r="O14" s="12">
        <f>0.12*Tabela5[[#This Row],[Podstawa podatku]]-Tabela5[[#This Row],[Ulga podatkowa]]</f>
        <v>234.08351400000004</v>
      </c>
      <c r="P14" s="12">
        <f>Tabela5[[#This Row],[Brutto]]-Tabela5[[#This Row],[Składki pracownika]]-Tabela5[[#This Row],[Składka zdrowotna]]-Tabela5[[#This Row],[Zaliczka na podatek]]</f>
        <v>4516.6124360000003</v>
      </c>
      <c r="Q14" s="7">
        <f>VLOOKUP(B14,Pracownik,10,FALSE)</f>
        <v>120</v>
      </c>
      <c r="R14" s="12">
        <f>Tabela5[[#This Row],[Netto]]-Tabela5[[#This Row],[Ubezpieczenie]]</f>
        <v>4396.6124360000003</v>
      </c>
      <c r="S14" s="14">
        <f>0.0976*Tabela5[[#This Row],[Brutto]]</f>
        <v>590.48</v>
      </c>
      <c r="T14" s="14">
        <f>0.065*Tabela5[[#This Row],[Brutto]]</f>
        <v>393.25</v>
      </c>
      <c r="U14" s="14">
        <f>0.0167*Tabela5[[#This Row],[Brutto]]</f>
        <v>101.035</v>
      </c>
      <c r="V14" s="38">
        <f>SUM(Tabela5[[#This Row],[Składka emerytalna pracodawcy]:[Składka wypadkowa]])</f>
        <v>1084.7650000000001</v>
      </c>
      <c r="W14" s="14">
        <f ca="1">IF(VLOOKUP(B14,DaneDodatkowe!B:J,9,FALSE)="TAK",2.45/100*Tabela5[[#This Row],[Brutto]],0)</f>
        <v>148.22499999999999</v>
      </c>
      <c r="X14" s="14">
        <f ca="1">IF(VLOOKUP(B14,DaneDodatkowe!B:J,9,FALSE)="TAK",0.1/100*Tabela5[[#This Row],[Brutto]],0)</f>
        <v>6.05</v>
      </c>
      <c r="Y14" s="38">
        <f ca="1">Tabela5[[#This Row],[Brutto]]+Tabela5[[#This Row],[Składki pracodawcy razem]]+Tabela5[[#This Row],[FP]]+Tabela5[[#This Row],[FGŚP]]</f>
        <v>7289.0400000000009</v>
      </c>
    </row>
    <row r="15" spans="1:25" x14ac:dyDescent="0.3">
      <c r="A15">
        <f>ROW()-2</f>
        <v>13</v>
      </c>
      <c r="B15" t="s">
        <v>59</v>
      </c>
      <c r="C15" s="7">
        <f>VLOOKUP(Tabela5[[#This Row],[Pracownik]],Pracownicy!C:I,7,FALSE)</f>
        <v>4700</v>
      </c>
      <c r="D15" s="7">
        <f>0.1*Tabela5[[#This Row],[Wynagrodzenie]]</f>
        <v>470</v>
      </c>
      <c r="E15" s="12">
        <f>Tabela5[[#This Row],[Wynagrodzenie]]+Tabela5[[#This Row],[Premia 10%]]</f>
        <v>5170</v>
      </c>
      <c r="F15" s="7">
        <f>0.0976*Tabela5[[#This Row],[Brutto]]</f>
        <v>504.59200000000004</v>
      </c>
      <c r="G15" s="7">
        <f>0.0245*Tabela5[[#This Row],[Brutto]]</f>
        <v>126.66500000000001</v>
      </c>
      <c r="H15" s="7">
        <f>0.015*Tabela5[[#This Row],[Brutto]]</f>
        <v>77.55</v>
      </c>
      <c r="I15" s="12">
        <f>SUM(Tabela5[[#This Row],[Składka emerytalna pracownika]:[Składka rentowa pracownika]])</f>
        <v>708.80700000000002</v>
      </c>
      <c r="J15" s="7">
        <f>Tabela5[[#This Row],[Brutto]]-Tabela5[[#This Row],[Składki pracownika]]</f>
        <v>4461.1930000000002</v>
      </c>
      <c r="K15" s="12">
        <f>0.09*Tabela5[[#This Row],[Podstawa składki zdrowotnej]]</f>
        <v>401.50736999999998</v>
      </c>
      <c r="L15" s="7">
        <f>IF(VLOOKUP(B15,Pracownik,8,FALSE)="TAK",300,250)</f>
        <v>300</v>
      </c>
      <c r="M15" s="7">
        <f>Tabela5[[#This Row],[Brutto]]-Tabela5[[#This Row],[Składki pracownika]]-Tabela5[[#This Row],[Składka zdrowotna]]-Tabela5[[#This Row],[Koszty uzyskania przychodu]]</f>
        <v>3759.6856300000004</v>
      </c>
      <c r="N15" s="7">
        <f>IF(VLOOKUP(B15,Pracownik,9,FALSE)="TAK",300,0)</f>
        <v>300</v>
      </c>
      <c r="O15" s="12">
        <f>0.12*Tabela5[[#This Row],[Podstawa podatku]]-Tabela5[[#This Row],[Ulga podatkowa]]</f>
        <v>151.16227560000004</v>
      </c>
      <c r="P15" s="12">
        <f>Tabela5[[#This Row],[Brutto]]-Tabela5[[#This Row],[Składki pracownika]]-Tabela5[[#This Row],[Składka zdrowotna]]-Tabela5[[#This Row],[Zaliczka na podatek]]</f>
        <v>3908.5233544000002</v>
      </c>
      <c r="Q15" s="7">
        <f>VLOOKUP(B15,Pracownik,10,FALSE)</f>
        <v>60</v>
      </c>
      <c r="R15" s="12">
        <f>Tabela5[[#This Row],[Netto]]-Tabela5[[#This Row],[Ubezpieczenie]]</f>
        <v>3848.5233544000002</v>
      </c>
      <c r="S15" s="14">
        <f>0.0976*Tabela5[[#This Row],[Brutto]]</f>
        <v>504.59200000000004</v>
      </c>
      <c r="T15" s="14">
        <f>0.065*Tabela5[[#This Row],[Brutto]]</f>
        <v>336.05</v>
      </c>
      <c r="U15" s="14">
        <f>0.0167*Tabela5[[#This Row],[Brutto]]</f>
        <v>86.338999999999999</v>
      </c>
      <c r="V15" s="38">
        <f>SUM(Tabela5[[#This Row],[Składka emerytalna pracodawcy]:[Składka wypadkowa]])</f>
        <v>926.98099999999999</v>
      </c>
      <c r="W15" s="14">
        <f ca="1">IF(VLOOKUP(B15,DaneDodatkowe!B:J,9,FALSE)="TAK",2.45/100*Tabela5[[#This Row],[Brutto]],0)</f>
        <v>126.66500000000001</v>
      </c>
      <c r="X15" s="14">
        <f ca="1">IF(VLOOKUP(B15,DaneDodatkowe!B:J,9,FALSE)="TAK",0.1/100*Tabela5[[#This Row],[Brutto]],0)</f>
        <v>5.17</v>
      </c>
      <c r="Y15" s="38">
        <f ca="1">Tabela5[[#This Row],[Brutto]]+Tabela5[[#This Row],[Składki pracodawcy razem]]+Tabela5[[#This Row],[FP]]+Tabela5[[#This Row],[FGŚP]]</f>
        <v>6228.8159999999998</v>
      </c>
    </row>
    <row r="16" spans="1:25" x14ac:dyDescent="0.3">
      <c r="A16">
        <f>ROW()-2</f>
        <v>14</v>
      </c>
      <c r="B16" t="s">
        <v>98</v>
      </c>
      <c r="C16" s="7">
        <f>VLOOKUP(Tabela5[[#This Row],[Pracownik]],Pracownicy!C:I,7,FALSE)</f>
        <v>5000</v>
      </c>
      <c r="D16" s="7">
        <f>0.1*Tabela5[[#This Row],[Wynagrodzenie]]</f>
        <v>500</v>
      </c>
      <c r="E16" s="12">
        <f>Tabela5[[#This Row],[Wynagrodzenie]]+Tabela5[[#This Row],[Premia 10%]]</f>
        <v>5500</v>
      </c>
      <c r="F16" s="7">
        <f>0.0976*Tabela5[[#This Row],[Brutto]]</f>
        <v>536.80000000000007</v>
      </c>
      <c r="G16" s="7">
        <f>0.0245*Tabela5[[#This Row],[Brutto]]</f>
        <v>134.75</v>
      </c>
      <c r="H16" s="7">
        <f>0.015*Tabela5[[#This Row],[Brutto]]</f>
        <v>82.5</v>
      </c>
      <c r="I16" s="12">
        <f>SUM(Tabela5[[#This Row],[Składka emerytalna pracownika]:[Składka rentowa pracownika]])</f>
        <v>754.05000000000007</v>
      </c>
      <c r="J16" s="7">
        <f>Tabela5[[#This Row],[Brutto]]-Tabela5[[#This Row],[Składki pracownika]]</f>
        <v>4745.95</v>
      </c>
      <c r="K16" s="12">
        <f>0.09*Tabela5[[#This Row],[Podstawa składki zdrowotnej]]</f>
        <v>427.13549999999998</v>
      </c>
      <c r="L16" s="7">
        <f>IF(VLOOKUP(B16,Pracownik,8,FALSE)="TAK",300,250)</f>
        <v>300</v>
      </c>
      <c r="M16" s="7">
        <f>Tabela5[[#This Row],[Brutto]]-Tabela5[[#This Row],[Składki pracownika]]-Tabela5[[#This Row],[Składka zdrowotna]]-Tabela5[[#This Row],[Koszty uzyskania przychodu]]</f>
        <v>4018.8144999999995</v>
      </c>
      <c r="N16" s="7">
        <f>IF(VLOOKUP(B16,Pracownik,9,FALSE)="TAK",300,0)</f>
        <v>300</v>
      </c>
      <c r="O16" s="12">
        <f>0.12*Tabela5[[#This Row],[Podstawa podatku]]-Tabela5[[#This Row],[Ulga podatkowa]]</f>
        <v>182.2577399999999</v>
      </c>
      <c r="P16" s="12">
        <f>Tabela5[[#This Row],[Brutto]]-Tabela5[[#This Row],[Składki pracownika]]-Tabela5[[#This Row],[Składka zdrowotna]]-Tabela5[[#This Row],[Zaliczka na podatek]]</f>
        <v>4136.5567599999995</v>
      </c>
      <c r="Q16" s="7">
        <f>VLOOKUP(B16,Pracownik,10,FALSE)</f>
        <v>60</v>
      </c>
      <c r="R16" s="12">
        <f>Tabela5[[#This Row],[Netto]]-Tabela5[[#This Row],[Ubezpieczenie]]</f>
        <v>4076.5567599999995</v>
      </c>
      <c r="S16" s="14">
        <f>0.0976*Tabela5[[#This Row],[Brutto]]</f>
        <v>536.80000000000007</v>
      </c>
      <c r="T16" s="14">
        <f>0.065*Tabela5[[#This Row],[Brutto]]</f>
        <v>357.5</v>
      </c>
      <c r="U16" s="14">
        <f>0.0167*Tabela5[[#This Row],[Brutto]]</f>
        <v>91.85</v>
      </c>
      <c r="V16" s="38">
        <f>SUM(Tabela5[[#This Row],[Składka emerytalna pracodawcy]:[Składka wypadkowa]])</f>
        <v>986.15000000000009</v>
      </c>
      <c r="W16" s="14">
        <f ca="1">IF(VLOOKUP(B16,DaneDodatkowe!B:J,9,FALSE)="TAK",2.45/100*Tabela5[[#This Row],[Brutto]],0)</f>
        <v>134.75</v>
      </c>
      <c r="X16" s="14">
        <f ca="1">IF(VLOOKUP(B16,DaneDodatkowe!B:J,9,FALSE)="TAK",0.1/100*Tabela5[[#This Row],[Brutto]],0)</f>
        <v>5.5</v>
      </c>
      <c r="Y16" s="38">
        <f ca="1">Tabela5[[#This Row],[Brutto]]+Tabela5[[#This Row],[Składki pracodawcy razem]]+Tabela5[[#This Row],[FP]]+Tabela5[[#This Row],[FGŚP]]</f>
        <v>6626.4</v>
      </c>
    </row>
    <row r="17" spans="1:25" x14ac:dyDescent="0.3">
      <c r="A17">
        <f>ROW()-2</f>
        <v>15</v>
      </c>
      <c r="B17" t="s">
        <v>16</v>
      </c>
      <c r="C17" s="7">
        <f>VLOOKUP(Tabela5[[#This Row],[Pracownik]],Pracownicy!C:I,7,FALSE)</f>
        <v>5000</v>
      </c>
      <c r="D17" s="7">
        <f>0.1*Tabela5[[#This Row],[Wynagrodzenie]]</f>
        <v>500</v>
      </c>
      <c r="E17" s="12">
        <f>Tabela5[[#This Row],[Wynagrodzenie]]+Tabela5[[#This Row],[Premia 10%]]</f>
        <v>5500</v>
      </c>
      <c r="F17" s="7">
        <f>0.0976*Tabela5[[#This Row],[Brutto]]</f>
        <v>536.80000000000007</v>
      </c>
      <c r="G17" s="7">
        <f>0.0245*Tabela5[[#This Row],[Brutto]]</f>
        <v>134.75</v>
      </c>
      <c r="H17" s="7">
        <f>0.015*Tabela5[[#This Row],[Brutto]]</f>
        <v>82.5</v>
      </c>
      <c r="I17" s="12">
        <f>SUM(Tabela5[[#This Row],[Składka emerytalna pracownika]:[Składka rentowa pracownika]])</f>
        <v>754.05000000000007</v>
      </c>
      <c r="J17" s="7">
        <f>Tabela5[[#This Row],[Brutto]]-Tabela5[[#This Row],[Składki pracownika]]</f>
        <v>4745.95</v>
      </c>
      <c r="K17" s="12">
        <f>0.09*Tabela5[[#This Row],[Podstawa składki zdrowotnej]]</f>
        <v>427.13549999999998</v>
      </c>
      <c r="L17" s="7">
        <f>IF(VLOOKUP(B17,Pracownik,8,FALSE)="TAK",300,250)</f>
        <v>250</v>
      </c>
      <c r="M17" s="7">
        <f>Tabela5[[#This Row],[Brutto]]-Tabela5[[#This Row],[Składki pracownika]]-Tabela5[[#This Row],[Składka zdrowotna]]-Tabela5[[#This Row],[Koszty uzyskania przychodu]]</f>
        <v>4068.8144999999995</v>
      </c>
      <c r="N17" s="7">
        <f>IF(VLOOKUP(B17,Pracownik,9,FALSE)="TAK",300,0)</f>
        <v>300</v>
      </c>
      <c r="O17" s="12">
        <f>0.12*Tabela5[[#This Row],[Podstawa podatku]]-Tabela5[[#This Row],[Ulga podatkowa]]</f>
        <v>188.2577399999999</v>
      </c>
      <c r="P17" s="12">
        <f>Tabela5[[#This Row],[Brutto]]-Tabela5[[#This Row],[Składki pracownika]]-Tabela5[[#This Row],[Składka zdrowotna]]-Tabela5[[#This Row],[Zaliczka na podatek]]</f>
        <v>4130.5567599999995</v>
      </c>
      <c r="Q17" s="7">
        <f>VLOOKUP(B17,Pracownik,10,FALSE)</f>
        <v>60</v>
      </c>
      <c r="R17" s="12">
        <f>Tabela5[[#This Row],[Netto]]-Tabela5[[#This Row],[Ubezpieczenie]]</f>
        <v>4070.5567599999995</v>
      </c>
      <c r="S17" s="14">
        <f>0.0976*Tabela5[[#This Row],[Brutto]]</f>
        <v>536.80000000000007</v>
      </c>
      <c r="T17" s="14">
        <f>0.065*Tabela5[[#This Row],[Brutto]]</f>
        <v>357.5</v>
      </c>
      <c r="U17" s="14">
        <f>0.0167*Tabela5[[#This Row],[Brutto]]</f>
        <v>91.85</v>
      </c>
      <c r="V17" s="38">
        <f>SUM(Tabela5[[#This Row],[Składka emerytalna pracodawcy]:[Składka wypadkowa]])</f>
        <v>986.15000000000009</v>
      </c>
      <c r="W17" s="14">
        <f ca="1">IF(VLOOKUP(B17,DaneDodatkowe!B:J,9,FALSE)="TAK",2.45/100*Tabela5[[#This Row],[Brutto]],0)</f>
        <v>134.75</v>
      </c>
      <c r="X17" s="14">
        <f ca="1">IF(VLOOKUP(B17,DaneDodatkowe!B:J,9,FALSE)="TAK",0.1/100*Tabela5[[#This Row],[Brutto]],0)</f>
        <v>5.5</v>
      </c>
      <c r="Y17" s="38">
        <f ca="1">Tabela5[[#This Row],[Brutto]]+Tabela5[[#This Row],[Składki pracodawcy razem]]+Tabela5[[#This Row],[FP]]+Tabela5[[#This Row],[FGŚP]]</f>
        <v>6626.4</v>
      </c>
    </row>
    <row r="18" spans="1:25" x14ac:dyDescent="0.3">
      <c r="A18">
        <f>ROW()-2</f>
        <v>16</v>
      </c>
      <c r="B18" t="s">
        <v>50</v>
      </c>
      <c r="C18" s="7">
        <f>VLOOKUP(Tabela5[[#This Row],[Pracownik]],Pracownicy!C:I,7,FALSE)</f>
        <v>4800</v>
      </c>
      <c r="D18" s="7">
        <f>0.1*Tabela5[[#This Row],[Wynagrodzenie]]</f>
        <v>480</v>
      </c>
      <c r="E18" s="12">
        <f>Tabela5[[#This Row],[Wynagrodzenie]]+Tabela5[[#This Row],[Premia 10%]]</f>
        <v>5280</v>
      </c>
      <c r="F18" s="7">
        <f>0.0976*Tabela5[[#This Row],[Brutto]]</f>
        <v>515.32800000000009</v>
      </c>
      <c r="G18" s="7">
        <f>0.0245*Tabela5[[#This Row],[Brutto]]</f>
        <v>129.36000000000001</v>
      </c>
      <c r="H18" s="7">
        <f>0.015*Tabela5[[#This Row],[Brutto]]</f>
        <v>79.2</v>
      </c>
      <c r="I18" s="12">
        <f>SUM(Tabela5[[#This Row],[Składka emerytalna pracownika]:[Składka rentowa pracownika]])</f>
        <v>723.88800000000015</v>
      </c>
      <c r="J18" s="7">
        <f>Tabela5[[#This Row],[Brutto]]-Tabela5[[#This Row],[Składki pracownika]]</f>
        <v>4556.1120000000001</v>
      </c>
      <c r="K18" s="12">
        <f>0.09*Tabela5[[#This Row],[Podstawa składki zdrowotnej]]</f>
        <v>410.05007999999998</v>
      </c>
      <c r="L18" s="7">
        <f>IF(VLOOKUP(B18,Pracownik,8,FALSE)="TAK",300,250)</f>
        <v>300</v>
      </c>
      <c r="M18" s="7">
        <f>Tabela5[[#This Row],[Brutto]]-Tabela5[[#This Row],[Składki pracownika]]-Tabela5[[#This Row],[Składka zdrowotna]]-Tabela5[[#This Row],[Koszty uzyskania przychodu]]</f>
        <v>3846.0619200000001</v>
      </c>
      <c r="N18" s="7">
        <f>IF(VLOOKUP(B18,Pracownik,9,FALSE)="TAK",300,0)</f>
        <v>0</v>
      </c>
      <c r="O18" s="12">
        <f>0.12*Tabela5[[#This Row],[Podstawa podatku]]-Tabela5[[#This Row],[Ulga podatkowa]]</f>
        <v>461.52743040000001</v>
      </c>
      <c r="P18" s="12">
        <f>Tabela5[[#This Row],[Brutto]]-Tabela5[[#This Row],[Składki pracownika]]-Tabela5[[#This Row],[Składka zdrowotna]]-Tabela5[[#This Row],[Zaliczka na podatek]]</f>
        <v>3684.5344896000001</v>
      </c>
      <c r="Q18" s="7">
        <f>VLOOKUP(B18,Pracownik,10,FALSE)</f>
        <v>120</v>
      </c>
      <c r="R18" s="12">
        <f>Tabela5[[#This Row],[Netto]]-Tabela5[[#This Row],[Ubezpieczenie]]</f>
        <v>3564.5344896000001</v>
      </c>
      <c r="S18" s="14">
        <f>0.0976*Tabela5[[#This Row],[Brutto]]</f>
        <v>515.32800000000009</v>
      </c>
      <c r="T18" s="14">
        <f>0.065*Tabela5[[#This Row],[Brutto]]</f>
        <v>343.2</v>
      </c>
      <c r="U18" s="14">
        <f>0.0167*Tabela5[[#This Row],[Brutto]]</f>
        <v>88.176000000000002</v>
      </c>
      <c r="V18" s="38">
        <f>SUM(Tabela5[[#This Row],[Składka emerytalna pracodawcy]:[Składka wypadkowa]])</f>
        <v>946.70400000000006</v>
      </c>
      <c r="W18" s="14">
        <f ca="1">IF(VLOOKUP(B18,DaneDodatkowe!B:J,9,FALSE)="TAK",2.45/100*Tabela5[[#This Row],[Brutto]],0)</f>
        <v>0</v>
      </c>
      <c r="X18" s="14">
        <f ca="1">IF(VLOOKUP(B18,DaneDodatkowe!B:J,9,FALSE)="TAK",0.1/100*Tabela5[[#This Row],[Brutto]],0)</f>
        <v>0</v>
      </c>
      <c r="Y18" s="38">
        <f ca="1">Tabela5[[#This Row],[Brutto]]+Tabela5[[#This Row],[Składki pracodawcy razem]]+Tabela5[[#This Row],[FP]]+Tabela5[[#This Row],[FGŚP]]</f>
        <v>6226.7039999999997</v>
      </c>
    </row>
    <row r="19" spans="1:25" x14ac:dyDescent="0.3">
      <c r="A19">
        <f>ROW()-2</f>
        <v>17</v>
      </c>
      <c r="B19" t="s">
        <v>68</v>
      </c>
      <c r="C19" s="7">
        <f>VLOOKUP(Tabela5[[#This Row],[Pracownik]],Pracownicy!C:I,7,FALSE)</f>
        <v>4700</v>
      </c>
      <c r="D19" s="7">
        <f>0.1*Tabela5[[#This Row],[Wynagrodzenie]]</f>
        <v>470</v>
      </c>
      <c r="E19" s="12">
        <f>Tabela5[[#This Row],[Wynagrodzenie]]+Tabela5[[#This Row],[Premia 10%]]</f>
        <v>5170</v>
      </c>
      <c r="F19" s="7">
        <f>0.0976*Tabela5[[#This Row],[Brutto]]</f>
        <v>504.59200000000004</v>
      </c>
      <c r="G19" s="7">
        <f>0.0245*Tabela5[[#This Row],[Brutto]]</f>
        <v>126.66500000000001</v>
      </c>
      <c r="H19" s="7">
        <f>0.015*Tabela5[[#This Row],[Brutto]]</f>
        <v>77.55</v>
      </c>
      <c r="I19" s="12">
        <f>SUM(Tabela5[[#This Row],[Składka emerytalna pracownika]:[Składka rentowa pracownika]])</f>
        <v>708.80700000000002</v>
      </c>
      <c r="J19" s="7">
        <f>Tabela5[[#This Row],[Brutto]]-Tabela5[[#This Row],[Składki pracownika]]</f>
        <v>4461.1930000000002</v>
      </c>
      <c r="K19" s="12">
        <f>0.09*Tabela5[[#This Row],[Podstawa składki zdrowotnej]]</f>
        <v>401.50736999999998</v>
      </c>
      <c r="L19" s="7">
        <f>IF(VLOOKUP(B19,Pracownik,8,FALSE)="TAK",300,250)</f>
        <v>300</v>
      </c>
      <c r="M19" s="7">
        <f>Tabela5[[#This Row],[Brutto]]-Tabela5[[#This Row],[Składki pracownika]]-Tabela5[[#This Row],[Składka zdrowotna]]-Tabela5[[#This Row],[Koszty uzyskania przychodu]]</f>
        <v>3759.6856300000004</v>
      </c>
      <c r="N19" s="7">
        <f>IF(VLOOKUP(B19,Pracownik,9,FALSE)="TAK",300,0)</f>
        <v>300</v>
      </c>
      <c r="O19" s="12">
        <f>0.12*Tabela5[[#This Row],[Podstawa podatku]]-Tabela5[[#This Row],[Ulga podatkowa]]</f>
        <v>151.16227560000004</v>
      </c>
      <c r="P19" s="12">
        <f>Tabela5[[#This Row],[Brutto]]-Tabela5[[#This Row],[Składki pracownika]]-Tabela5[[#This Row],[Składka zdrowotna]]-Tabela5[[#This Row],[Zaliczka na podatek]]</f>
        <v>3908.5233544000002</v>
      </c>
      <c r="Q19" s="7">
        <f>VLOOKUP(B19,Pracownik,10,FALSE)</f>
        <v>0</v>
      </c>
      <c r="R19" s="12">
        <f>Tabela5[[#This Row],[Netto]]-Tabela5[[#This Row],[Ubezpieczenie]]</f>
        <v>3908.5233544000002</v>
      </c>
      <c r="S19" s="14">
        <f>0.0976*Tabela5[[#This Row],[Brutto]]</f>
        <v>504.59200000000004</v>
      </c>
      <c r="T19" s="14">
        <f>0.065*Tabela5[[#This Row],[Brutto]]</f>
        <v>336.05</v>
      </c>
      <c r="U19" s="14">
        <f>0.0167*Tabela5[[#This Row],[Brutto]]</f>
        <v>86.338999999999999</v>
      </c>
      <c r="V19" s="38">
        <f>SUM(Tabela5[[#This Row],[Składka emerytalna pracodawcy]:[Składka wypadkowa]])</f>
        <v>926.98099999999999</v>
      </c>
      <c r="W19" s="14">
        <f ca="1">IF(VLOOKUP(B19,DaneDodatkowe!B:J,9,FALSE)="TAK",2.45/100*Tabela5[[#This Row],[Brutto]],0)</f>
        <v>126.66500000000001</v>
      </c>
      <c r="X19" s="14">
        <f ca="1">IF(VLOOKUP(B19,DaneDodatkowe!B:J,9,FALSE)="TAK",0.1/100*Tabela5[[#This Row],[Brutto]],0)</f>
        <v>5.17</v>
      </c>
      <c r="Y19" s="38">
        <f ca="1">Tabela5[[#This Row],[Brutto]]+Tabela5[[#This Row],[Składki pracodawcy razem]]+Tabela5[[#This Row],[FP]]+Tabela5[[#This Row],[FGŚP]]</f>
        <v>6228.8159999999998</v>
      </c>
    </row>
    <row r="20" spans="1:25" x14ac:dyDescent="0.3">
      <c r="A20">
        <f>ROW()-2</f>
        <v>18</v>
      </c>
      <c r="B20" t="s">
        <v>10</v>
      </c>
      <c r="C20" s="7">
        <f>VLOOKUP(Tabela5[[#This Row],[Pracownik]],Pracownicy!C:I,7,FALSE)</f>
        <v>15000</v>
      </c>
      <c r="D20" s="7">
        <f>0.1*Tabela5[[#This Row],[Wynagrodzenie]]</f>
        <v>1500</v>
      </c>
      <c r="E20" s="12">
        <f>Tabela5[[#This Row],[Wynagrodzenie]]+Tabela5[[#This Row],[Premia 10%]]</f>
        <v>16500</v>
      </c>
      <c r="F20" s="7">
        <f>0.0976*Tabela5[[#This Row],[Brutto]]</f>
        <v>1610.4</v>
      </c>
      <c r="G20" s="7">
        <f>0.0245*Tabela5[[#This Row],[Brutto]]</f>
        <v>404.25</v>
      </c>
      <c r="H20" s="7">
        <f>0.015*Tabela5[[#This Row],[Brutto]]</f>
        <v>247.5</v>
      </c>
      <c r="I20" s="12">
        <f>SUM(Tabela5[[#This Row],[Składka emerytalna pracownika]:[Składka rentowa pracownika]])</f>
        <v>2262.15</v>
      </c>
      <c r="J20" s="7">
        <f>Tabela5[[#This Row],[Brutto]]-Tabela5[[#This Row],[Składki pracownika]]</f>
        <v>14237.85</v>
      </c>
      <c r="K20" s="12">
        <f>0.09*Tabela5[[#This Row],[Podstawa składki zdrowotnej]]</f>
        <v>1281.4065000000001</v>
      </c>
      <c r="L20" s="7">
        <f>IF(VLOOKUP(B20,Pracownik,8,FALSE)="TAK",300,250)</f>
        <v>300</v>
      </c>
      <c r="M20" s="7">
        <f>Tabela5[[#This Row],[Brutto]]-Tabela5[[#This Row],[Składki pracownika]]-Tabela5[[#This Row],[Składka zdrowotna]]-Tabela5[[#This Row],[Koszty uzyskania przychodu]]</f>
        <v>12656.443500000001</v>
      </c>
      <c r="N20" s="7">
        <f>IF(VLOOKUP(B20,Pracownik,9,FALSE)="TAK",300,0)</f>
        <v>300</v>
      </c>
      <c r="O20" s="12">
        <f>0.12*Tabela5[[#This Row],[Podstawa podatku]]-Tabela5[[#This Row],[Ulga podatkowa]]</f>
        <v>1218.77322</v>
      </c>
      <c r="P20" s="12">
        <f>Tabela5[[#This Row],[Brutto]]-Tabela5[[#This Row],[Składki pracownika]]-Tabela5[[#This Row],[Składka zdrowotna]]-Tabela5[[#This Row],[Zaliczka na podatek]]</f>
        <v>11737.670280000002</v>
      </c>
      <c r="Q20" s="7">
        <f>VLOOKUP(B20,Pracownik,10,FALSE)</f>
        <v>120</v>
      </c>
      <c r="R20" s="12">
        <f>Tabela5[[#This Row],[Netto]]-Tabela5[[#This Row],[Ubezpieczenie]]</f>
        <v>11617.670280000002</v>
      </c>
      <c r="S20" s="14">
        <f>0.0976*Tabela5[[#This Row],[Brutto]]</f>
        <v>1610.4</v>
      </c>
      <c r="T20" s="14">
        <f>0.065*Tabela5[[#This Row],[Brutto]]</f>
        <v>1072.5</v>
      </c>
      <c r="U20" s="14">
        <f>0.0167*Tabela5[[#This Row],[Brutto]]</f>
        <v>275.55</v>
      </c>
      <c r="V20" s="38">
        <f>SUM(Tabela5[[#This Row],[Składka emerytalna pracodawcy]:[Składka wypadkowa]])</f>
        <v>2958.4500000000003</v>
      </c>
      <c r="W20" s="14">
        <f ca="1">IF(VLOOKUP(B20,DaneDodatkowe!B:J,9,FALSE)="TAK",2.45/100*Tabela5[[#This Row],[Brutto]],0)</f>
        <v>404.25</v>
      </c>
      <c r="X20" s="14">
        <f ca="1">IF(VLOOKUP(B20,DaneDodatkowe!B:J,9,FALSE)="TAK",0.1/100*Tabela5[[#This Row],[Brutto]],0)</f>
        <v>16.5</v>
      </c>
      <c r="Y20" s="38">
        <f ca="1">Tabela5[[#This Row],[Brutto]]+Tabela5[[#This Row],[Składki pracodawcy razem]]+Tabela5[[#This Row],[FP]]+Tabela5[[#This Row],[FGŚP]]</f>
        <v>19879.2</v>
      </c>
    </row>
    <row r="21" spans="1:25" x14ac:dyDescent="0.3">
      <c r="A21">
        <f>ROW()-2</f>
        <v>19</v>
      </c>
      <c r="B21" t="s">
        <v>19</v>
      </c>
      <c r="C21" s="7">
        <f>VLOOKUP(Tabela5[[#This Row],[Pracownik]],Pracownicy!C:I,7,FALSE)</f>
        <v>7000</v>
      </c>
      <c r="D21" s="7">
        <f>0.1*Tabela5[[#This Row],[Wynagrodzenie]]</f>
        <v>700</v>
      </c>
      <c r="E21" s="12">
        <f>Tabela5[[#This Row],[Wynagrodzenie]]+Tabela5[[#This Row],[Premia 10%]]</f>
        <v>7700</v>
      </c>
      <c r="F21" s="7">
        <f>0.0976*Tabela5[[#This Row],[Brutto]]</f>
        <v>751.5200000000001</v>
      </c>
      <c r="G21" s="7">
        <f>0.0245*Tabela5[[#This Row],[Brutto]]</f>
        <v>188.65</v>
      </c>
      <c r="H21" s="7">
        <f>0.015*Tabela5[[#This Row],[Brutto]]</f>
        <v>115.5</v>
      </c>
      <c r="I21" s="12">
        <f>SUM(Tabela5[[#This Row],[Składka emerytalna pracownika]:[Składka rentowa pracownika]])</f>
        <v>1055.67</v>
      </c>
      <c r="J21" s="7">
        <f>Tabela5[[#This Row],[Brutto]]-Tabela5[[#This Row],[Składki pracownika]]</f>
        <v>6644.33</v>
      </c>
      <c r="K21" s="12">
        <f>0.09*Tabela5[[#This Row],[Podstawa składki zdrowotnej]]</f>
        <v>597.98969999999997</v>
      </c>
      <c r="L21" s="7">
        <f>IF(VLOOKUP(B21,Pracownik,8,FALSE)="TAK",300,250)</f>
        <v>300</v>
      </c>
      <c r="M21" s="7">
        <f>Tabela5[[#This Row],[Brutto]]-Tabela5[[#This Row],[Składki pracownika]]-Tabela5[[#This Row],[Składka zdrowotna]]-Tabela5[[#This Row],[Koszty uzyskania przychodu]]</f>
        <v>5746.3402999999998</v>
      </c>
      <c r="N21" s="7">
        <f>IF(VLOOKUP(B21,Pracownik,9,FALSE)="TAK",300,0)</f>
        <v>300</v>
      </c>
      <c r="O21" s="12">
        <f>0.12*Tabela5[[#This Row],[Podstawa podatku]]-Tabela5[[#This Row],[Ulga podatkowa]]</f>
        <v>389.56083599999999</v>
      </c>
      <c r="P21" s="12">
        <f>Tabela5[[#This Row],[Brutto]]-Tabela5[[#This Row],[Składki pracownika]]-Tabela5[[#This Row],[Składka zdrowotna]]-Tabela5[[#This Row],[Zaliczka na podatek]]</f>
        <v>5656.7794640000002</v>
      </c>
      <c r="Q21" s="7">
        <f>VLOOKUP(B21,Pracownik,10,FALSE)</f>
        <v>120</v>
      </c>
      <c r="R21" s="12">
        <f>Tabela5[[#This Row],[Netto]]-Tabela5[[#This Row],[Ubezpieczenie]]</f>
        <v>5536.7794640000002</v>
      </c>
      <c r="S21" s="14">
        <f>0.0976*Tabela5[[#This Row],[Brutto]]</f>
        <v>751.5200000000001</v>
      </c>
      <c r="T21" s="14">
        <f>0.065*Tabela5[[#This Row],[Brutto]]</f>
        <v>500.5</v>
      </c>
      <c r="U21" s="14">
        <f>0.0167*Tabela5[[#This Row],[Brutto]]</f>
        <v>128.59</v>
      </c>
      <c r="V21" s="38">
        <f>SUM(Tabela5[[#This Row],[Składka emerytalna pracodawcy]:[Składka wypadkowa]])</f>
        <v>1380.61</v>
      </c>
      <c r="W21" s="14">
        <f ca="1">IF(VLOOKUP(B21,DaneDodatkowe!B:J,9,FALSE)="TAK",2.45/100*Tabela5[[#This Row],[Brutto]],0)</f>
        <v>188.65</v>
      </c>
      <c r="X21" s="14">
        <f ca="1">IF(VLOOKUP(B21,DaneDodatkowe!B:J,9,FALSE)="TAK",0.1/100*Tabela5[[#This Row],[Brutto]],0)</f>
        <v>7.7</v>
      </c>
      <c r="Y21" s="38">
        <f ca="1">Tabela5[[#This Row],[Brutto]]+Tabela5[[#This Row],[Składki pracodawcy razem]]+Tabela5[[#This Row],[FP]]+Tabela5[[#This Row],[FGŚP]]</f>
        <v>9276.9600000000009</v>
      </c>
    </row>
    <row r="22" spans="1:25" x14ac:dyDescent="0.3">
      <c r="A22">
        <f>ROW()-2</f>
        <v>20</v>
      </c>
      <c r="B22" t="s">
        <v>103</v>
      </c>
      <c r="C22" s="7">
        <f>VLOOKUP(Tabela5[[#This Row],[Pracownik]],Pracownicy!C:I,7,FALSE)</f>
        <v>4800</v>
      </c>
      <c r="D22" s="7">
        <f>0.1*Tabela5[[#This Row],[Wynagrodzenie]]</f>
        <v>480</v>
      </c>
      <c r="E22" s="12">
        <f>Tabela5[[#This Row],[Wynagrodzenie]]+Tabela5[[#This Row],[Premia 10%]]</f>
        <v>5280</v>
      </c>
      <c r="F22" s="7">
        <f>0.0976*Tabela5[[#This Row],[Brutto]]</f>
        <v>515.32800000000009</v>
      </c>
      <c r="G22" s="7">
        <f>0.0245*Tabela5[[#This Row],[Brutto]]</f>
        <v>129.36000000000001</v>
      </c>
      <c r="H22" s="7">
        <f>0.015*Tabela5[[#This Row],[Brutto]]</f>
        <v>79.2</v>
      </c>
      <c r="I22" s="12">
        <f>SUM(Tabela5[[#This Row],[Składka emerytalna pracownika]:[Składka rentowa pracownika]])</f>
        <v>723.88800000000015</v>
      </c>
      <c r="J22" s="7">
        <f>Tabela5[[#This Row],[Brutto]]-Tabela5[[#This Row],[Składki pracownika]]</f>
        <v>4556.1120000000001</v>
      </c>
      <c r="K22" s="12">
        <f>0.09*Tabela5[[#This Row],[Podstawa składki zdrowotnej]]</f>
        <v>410.05007999999998</v>
      </c>
      <c r="L22" s="7">
        <f>IF(VLOOKUP(B22,Pracownik,8,FALSE)="TAK",300,250)</f>
        <v>250</v>
      </c>
      <c r="M22" s="7">
        <f>Tabela5[[#This Row],[Brutto]]-Tabela5[[#This Row],[Składki pracownika]]-Tabela5[[#This Row],[Składka zdrowotna]]-Tabela5[[#This Row],[Koszty uzyskania przychodu]]</f>
        <v>3896.0619200000001</v>
      </c>
      <c r="N22" s="7">
        <f>IF(VLOOKUP(B22,Pracownik,9,FALSE)="TAK",300,0)</f>
        <v>300</v>
      </c>
      <c r="O22" s="12">
        <f>0.12*Tabela5[[#This Row],[Podstawa podatku]]-Tabela5[[#This Row],[Ulga podatkowa]]</f>
        <v>167.52743040000001</v>
      </c>
      <c r="P22" s="12">
        <f>Tabela5[[#This Row],[Brutto]]-Tabela5[[#This Row],[Składki pracownika]]-Tabela5[[#This Row],[Składka zdrowotna]]-Tabela5[[#This Row],[Zaliczka na podatek]]</f>
        <v>3978.5344896000001</v>
      </c>
      <c r="Q22" s="7">
        <f>VLOOKUP(B22,Pracownik,10,FALSE)</f>
        <v>60</v>
      </c>
      <c r="R22" s="12">
        <f>Tabela5[[#This Row],[Netto]]-Tabela5[[#This Row],[Ubezpieczenie]]</f>
        <v>3918.5344896000001</v>
      </c>
      <c r="S22" s="14">
        <f>0.0976*Tabela5[[#This Row],[Brutto]]</f>
        <v>515.32800000000009</v>
      </c>
      <c r="T22" s="14">
        <f>0.065*Tabela5[[#This Row],[Brutto]]</f>
        <v>343.2</v>
      </c>
      <c r="U22" s="14">
        <f>0.0167*Tabela5[[#This Row],[Brutto]]</f>
        <v>88.176000000000002</v>
      </c>
      <c r="V22" s="38">
        <f>SUM(Tabela5[[#This Row],[Składka emerytalna pracodawcy]:[Składka wypadkowa]])</f>
        <v>946.70400000000006</v>
      </c>
      <c r="W22" s="14">
        <f ca="1">IF(VLOOKUP(B22,DaneDodatkowe!B:J,9,FALSE)="TAK",2.45/100*Tabela5[[#This Row],[Brutto]],0)</f>
        <v>129.36000000000001</v>
      </c>
      <c r="X22" s="14">
        <f ca="1">IF(VLOOKUP(B22,DaneDodatkowe!B:J,9,FALSE)="TAK",0.1/100*Tabela5[[#This Row],[Brutto]],0)</f>
        <v>5.28</v>
      </c>
      <c r="Y22" s="38">
        <f ca="1">Tabela5[[#This Row],[Brutto]]+Tabela5[[#This Row],[Składki pracodawcy razem]]+Tabela5[[#This Row],[FP]]+Tabela5[[#This Row],[FGŚP]]</f>
        <v>6361.3439999999991</v>
      </c>
    </row>
    <row r="23" spans="1:25" x14ac:dyDescent="0.3">
      <c r="A23">
        <f>ROW()-2</f>
        <v>21</v>
      </c>
      <c r="B23" t="s">
        <v>74</v>
      </c>
      <c r="C23" s="7">
        <f>VLOOKUP(Tabela5[[#This Row],[Pracownik]],Pracownicy!C:I,7,FALSE)</f>
        <v>4800</v>
      </c>
      <c r="D23" s="7">
        <f>0.1*Tabela5[[#This Row],[Wynagrodzenie]]</f>
        <v>480</v>
      </c>
      <c r="E23" s="12">
        <f>Tabela5[[#This Row],[Wynagrodzenie]]+Tabela5[[#This Row],[Premia 10%]]</f>
        <v>5280</v>
      </c>
      <c r="F23" s="7">
        <f>0.0976*Tabela5[[#This Row],[Brutto]]</f>
        <v>515.32800000000009</v>
      </c>
      <c r="G23" s="7">
        <f>0.0245*Tabela5[[#This Row],[Brutto]]</f>
        <v>129.36000000000001</v>
      </c>
      <c r="H23" s="7">
        <f>0.015*Tabela5[[#This Row],[Brutto]]</f>
        <v>79.2</v>
      </c>
      <c r="I23" s="12">
        <f>SUM(Tabela5[[#This Row],[Składka emerytalna pracownika]:[Składka rentowa pracownika]])</f>
        <v>723.88800000000015</v>
      </c>
      <c r="J23" s="7">
        <f>Tabela5[[#This Row],[Brutto]]-Tabela5[[#This Row],[Składki pracownika]]</f>
        <v>4556.1120000000001</v>
      </c>
      <c r="K23" s="12">
        <f>0.09*Tabela5[[#This Row],[Podstawa składki zdrowotnej]]</f>
        <v>410.05007999999998</v>
      </c>
      <c r="L23" s="7">
        <f>IF(VLOOKUP(B23,Pracownik,8,FALSE)="TAK",300,250)</f>
        <v>300</v>
      </c>
      <c r="M23" s="7">
        <f>Tabela5[[#This Row],[Brutto]]-Tabela5[[#This Row],[Składki pracownika]]-Tabela5[[#This Row],[Składka zdrowotna]]-Tabela5[[#This Row],[Koszty uzyskania przychodu]]</f>
        <v>3846.0619200000001</v>
      </c>
      <c r="N23" s="7">
        <f>IF(VLOOKUP(B23,Pracownik,9,FALSE)="TAK",300,0)</f>
        <v>300</v>
      </c>
      <c r="O23" s="12">
        <f>0.12*Tabela5[[#This Row],[Podstawa podatku]]-Tabela5[[#This Row],[Ulga podatkowa]]</f>
        <v>161.52743040000001</v>
      </c>
      <c r="P23" s="12">
        <f>Tabela5[[#This Row],[Brutto]]-Tabela5[[#This Row],[Składki pracownika]]-Tabela5[[#This Row],[Składka zdrowotna]]-Tabela5[[#This Row],[Zaliczka na podatek]]</f>
        <v>3984.5344896000001</v>
      </c>
      <c r="Q23" s="7">
        <f>VLOOKUP(B23,Pracownik,10,FALSE)</f>
        <v>0</v>
      </c>
      <c r="R23" s="12">
        <f>Tabela5[[#This Row],[Netto]]-Tabela5[[#This Row],[Ubezpieczenie]]</f>
        <v>3984.5344896000001</v>
      </c>
      <c r="S23" s="14">
        <f>0.0976*Tabela5[[#This Row],[Brutto]]</f>
        <v>515.32800000000009</v>
      </c>
      <c r="T23" s="14">
        <f>0.065*Tabela5[[#This Row],[Brutto]]</f>
        <v>343.2</v>
      </c>
      <c r="U23" s="14">
        <f>0.0167*Tabela5[[#This Row],[Brutto]]</f>
        <v>88.176000000000002</v>
      </c>
      <c r="V23" s="38">
        <f>SUM(Tabela5[[#This Row],[Składka emerytalna pracodawcy]:[Składka wypadkowa]])</f>
        <v>946.70400000000006</v>
      </c>
      <c r="W23" s="14">
        <f ca="1">IF(VLOOKUP(B23,DaneDodatkowe!B:J,9,FALSE)="TAK",2.45/100*Tabela5[[#This Row],[Brutto]],0)</f>
        <v>129.36000000000001</v>
      </c>
      <c r="X23" s="14">
        <f ca="1">IF(VLOOKUP(B23,DaneDodatkowe!B:J,9,FALSE)="TAK",0.1/100*Tabela5[[#This Row],[Brutto]],0)</f>
        <v>5.28</v>
      </c>
      <c r="Y23" s="38">
        <f ca="1">Tabela5[[#This Row],[Brutto]]+Tabela5[[#This Row],[Składki pracodawcy razem]]+Tabela5[[#This Row],[FP]]+Tabela5[[#This Row],[FGŚP]]</f>
        <v>6361.3439999999991</v>
      </c>
    </row>
    <row r="24" spans="1:25" x14ac:dyDescent="0.3">
      <c r="A24">
        <f>ROW()-2</f>
        <v>22</v>
      </c>
      <c r="B24" t="s">
        <v>79</v>
      </c>
      <c r="C24" s="7">
        <f>VLOOKUP(Tabela5[[#This Row],[Pracownik]],Pracownicy!C:I,7,FALSE)</f>
        <v>4800</v>
      </c>
      <c r="D24" s="7">
        <f>0.1*Tabela5[[#This Row],[Wynagrodzenie]]</f>
        <v>480</v>
      </c>
      <c r="E24" s="12">
        <f>Tabela5[[#This Row],[Wynagrodzenie]]+Tabela5[[#This Row],[Premia 10%]]</f>
        <v>5280</v>
      </c>
      <c r="F24" s="7">
        <f>0.0976*Tabela5[[#This Row],[Brutto]]</f>
        <v>515.32800000000009</v>
      </c>
      <c r="G24" s="7">
        <f>0.0245*Tabela5[[#This Row],[Brutto]]</f>
        <v>129.36000000000001</v>
      </c>
      <c r="H24" s="7">
        <f>0.015*Tabela5[[#This Row],[Brutto]]</f>
        <v>79.2</v>
      </c>
      <c r="I24" s="12">
        <f>SUM(Tabela5[[#This Row],[Składka emerytalna pracownika]:[Składka rentowa pracownika]])</f>
        <v>723.88800000000015</v>
      </c>
      <c r="J24" s="7">
        <f>Tabela5[[#This Row],[Brutto]]-Tabela5[[#This Row],[Składki pracownika]]</f>
        <v>4556.1120000000001</v>
      </c>
      <c r="K24" s="12">
        <f>0.09*Tabela5[[#This Row],[Podstawa składki zdrowotnej]]</f>
        <v>410.05007999999998</v>
      </c>
      <c r="L24" s="7">
        <f>IF(VLOOKUP(B24,Pracownik,8,FALSE)="TAK",300,250)</f>
        <v>300</v>
      </c>
      <c r="M24" s="7">
        <f>Tabela5[[#This Row],[Brutto]]-Tabela5[[#This Row],[Składki pracownika]]-Tabela5[[#This Row],[Składka zdrowotna]]-Tabela5[[#This Row],[Koszty uzyskania przychodu]]</f>
        <v>3846.0619200000001</v>
      </c>
      <c r="N24" s="7">
        <f>IF(VLOOKUP(B24,Pracownik,9,FALSE)="TAK",300,0)</f>
        <v>300</v>
      </c>
      <c r="O24" s="12">
        <f>0.12*Tabela5[[#This Row],[Podstawa podatku]]-Tabela5[[#This Row],[Ulga podatkowa]]</f>
        <v>161.52743040000001</v>
      </c>
      <c r="P24" s="12">
        <f>Tabela5[[#This Row],[Brutto]]-Tabela5[[#This Row],[Składki pracownika]]-Tabela5[[#This Row],[Składka zdrowotna]]-Tabela5[[#This Row],[Zaliczka na podatek]]</f>
        <v>3984.5344896000001</v>
      </c>
      <c r="Q24" s="7">
        <f>VLOOKUP(B24,Pracownik,10,FALSE)</f>
        <v>0</v>
      </c>
      <c r="R24" s="12">
        <f>Tabela5[[#This Row],[Netto]]-Tabela5[[#This Row],[Ubezpieczenie]]</f>
        <v>3984.5344896000001</v>
      </c>
      <c r="S24" s="14">
        <f>0.0976*Tabela5[[#This Row],[Brutto]]</f>
        <v>515.32800000000009</v>
      </c>
      <c r="T24" s="14">
        <f>0.065*Tabela5[[#This Row],[Brutto]]</f>
        <v>343.2</v>
      </c>
      <c r="U24" s="14">
        <f>0.0167*Tabela5[[#This Row],[Brutto]]</f>
        <v>88.176000000000002</v>
      </c>
      <c r="V24" s="38">
        <f>SUM(Tabela5[[#This Row],[Składka emerytalna pracodawcy]:[Składka wypadkowa]])</f>
        <v>946.70400000000006</v>
      </c>
      <c r="W24" s="14">
        <f ca="1">IF(VLOOKUP(B24,DaneDodatkowe!B:J,9,FALSE)="TAK",2.45/100*Tabela5[[#This Row],[Brutto]],0)</f>
        <v>129.36000000000001</v>
      </c>
      <c r="X24" s="14">
        <f ca="1">IF(VLOOKUP(B24,DaneDodatkowe!B:J,9,FALSE)="TAK",0.1/100*Tabela5[[#This Row],[Brutto]],0)</f>
        <v>5.28</v>
      </c>
      <c r="Y24" s="38">
        <f ca="1">Tabela5[[#This Row],[Brutto]]+Tabela5[[#This Row],[Składki pracodawcy razem]]+Tabela5[[#This Row],[FP]]+Tabela5[[#This Row],[FGŚP]]</f>
        <v>6361.3439999999991</v>
      </c>
    </row>
    <row r="25" spans="1:25" x14ac:dyDescent="0.3">
      <c r="A25">
        <f>ROW()-2</f>
        <v>23</v>
      </c>
      <c r="B25" t="s">
        <v>73</v>
      </c>
      <c r="C25" s="7">
        <f>VLOOKUP(Tabela5[[#This Row],[Pracownik]],Pracownicy!C:I,7,FALSE)</f>
        <v>4800</v>
      </c>
      <c r="D25" s="7">
        <f>0.1*Tabela5[[#This Row],[Wynagrodzenie]]</f>
        <v>480</v>
      </c>
      <c r="E25" s="12">
        <f>Tabela5[[#This Row],[Wynagrodzenie]]+Tabela5[[#This Row],[Premia 10%]]</f>
        <v>5280</v>
      </c>
      <c r="F25" s="7">
        <f>0.0976*Tabela5[[#This Row],[Brutto]]</f>
        <v>515.32800000000009</v>
      </c>
      <c r="G25" s="7">
        <f>0.0245*Tabela5[[#This Row],[Brutto]]</f>
        <v>129.36000000000001</v>
      </c>
      <c r="H25" s="7">
        <f>0.015*Tabela5[[#This Row],[Brutto]]</f>
        <v>79.2</v>
      </c>
      <c r="I25" s="12">
        <f>SUM(Tabela5[[#This Row],[Składka emerytalna pracownika]:[Składka rentowa pracownika]])</f>
        <v>723.88800000000015</v>
      </c>
      <c r="J25" s="7">
        <f>Tabela5[[#This Row],[Brutto]]-Tabela5[[#This Row],[Składki pracownika]]</f>
        <v>4556.1120000000001</v>
      </c>
      <c r="K25" s="12">
        <f>0.09*Tabela5[[#This Row],[Podstawa składki zdrowotnej]]</f>
        <v>410.05007999999998</v>
      </c>
      <c r="L25" s="7">
        <f>IF(VLOOKUP(B25,Pracownik,8,FALSE)="TAK",300,250)</f>
        <v>250</v>
      </c>
      <c r="M25" s="7">
        <f>Tabela5[[#This Row],[Brutto]]-Tabela5[[#This Row],[Składki pracownika]]-Tabela5[[#This Row],[Składka zdrowotna]]-Tabela5[[#This Row],[Koszty uzyskania przychodu]]</f>
        <v>3896.0619200000001</v>
      </c>
      <c r="N25" s="7">
        <f>IF(VLOOKUP(B25,Pracownik,9,FALSE)="TAK",300,0)</f>
        <v>300</v>
      </c>
      <c r="O25" s="12">
        <f>0.12*Tabela5[[#This Row],[Podstawa podatku]]-Tabela5[[#This Row],[Ulga podatkowa]]</f>
        <v>167.52743040000001</v>
      </c>
      <c r="P25" s="12">
        <f>Tabela5[[#This Row],[Brutto]]-Tabela5[[#This Row],[Składki pracownika]]-Tabela5[[#This Row],[Składka zdrowotna]]-Tabela5[[#This Row],[Zaliczka na podatek]]</f>
        <v>3978.5344896000001</v>
      </c>
      <c r="Q25" s="7">
        <f>VLOOKUP(B25,Pracownik,10,FALSE)</f>
        <v>120</v>
      </c>
      <c r="R25" s="12">
        <f>Tabela5[[#This Row],[Netto]]-Tabela5[[#This Row],[Ubezpieczenie]]</f>
        <v>3858.5344896000001</v>
      </c>
      <c r="S25" s="14">
        <f>0.0976*Tabela5[[#This Row],[Brutto]]</f>
        <v>515.32800000000009</v>
      </c>
      <c r="T25" s="14">
        <f>0.065*Tabela5[[#This Row],[Brutto]]</f>
        <v>343.2</v>
      </c>
      <c r="U25" s="14">
        <f>0.0167*Tabela5[[#This Row],[Brutto]]</f>
        <v>88.176000000000002</v>
      </c>
      <c r="V25" s="38">
        <f>SUM(Tabela5[[#This Row],[Składka emerytalna pracodawcy]:[Składka wypadkowa]])</f>
        <v>946.70400000000006</v>
      </c>
      <c r="W25" s="14">
        <f ca="1">IF(VLOOKUP(B25,DaneDodatkowe!B:J,9,FALSE)="TAK",2.45/100*Tabela5[[#This Row],[Brutto]],0)</f>
        <v>129.36000000000001</v>
      </c>
      <c r="X25" s="14">
        <f ca="1">IF(VLOOKUP(B25,DaneDodatkowe!B:J,9,FALSE)="TAK",0.1/100*Tabela5[[#This Row],[Brutto]],0)</f>
        <v>5.28</v>
      </c>
      <c r="Y25" s="38">
        <f ca="1">Tabela5[[#This Row],[Brutto]]+Tabela5[[#This Row],[Składki pracodawcy razem]]+Tabela5[[#This Row],[FP]]+Tabela5[[#This Row],[FGŚP]]</f>
        <v>6361.3439999999991</v>
      </c>
    </row>
    <row r="26" spans="1:25" x14ac:dyDescent="0.3">
      <c r="A26">
        <f>ROW()-2</f>
        <v>24</v>
      </c>
      <c r="B26" t="s">
        <v>60</v>
      </c>
      <c r="C26" s="7">
        <f>VLOOKUP(Tabela5[[#This Row],[Pracownik]],Pracownicy!C:I,7,FALSE)</f>
        <v>5800</v>
      </c>
      <c r="D26" s="7">
        <f>0.1*Tabela5[[#This Row],[Wynagrodzenie]]</f>
        <v>580</v>
      </c>
      <c r="E26" s="12">
        <f>Tabela5[[#This Row],[Wynagrodzenie]]+Tabela5[[#This Row],[Premia 10%]]</f>
        <v>6380</v>
      </c>
      <c r="F26" s="7">
        <f>0.0976*Tabela5[[#This Row],[Brutto]]</f>
        <v>622.68799999999999</v>
      </c>
      <c r="G26" s="7">
        <f>0.0245*Tabela5[[#This Row],[Brutto]]</f>
        <v>156.31</v>
      </c>
      <c r="H26" s="7">
        <f>0.015*Tabela5[[#This Row],[Brutto]]</f>
        <v>95.7</v>
      </c>
      <c r="I26" s="12">
        <f>SUM(Tabela5[[#This Row],[Składka emerytalna pracownika]:[Składka rentowa pracownika]])</f>
        <v>874.69800000000009</v>
      </c>
      <c r="J26" s="7">
        <f>Tabela5[[#This Row],[Brutto]]-Tabela5[[#This Row],[Składki pracownika]]</f>
        <v>5505.3019999999997</v>
      </c>
      <c r="K26" s="12">
        <f>0.09*Tabela5[[#This Row],[Podstawa składki zdrowotnej]]</f>
        <v>495.47717999999998</v>
      </c>
      <c r="L26" s="7">
        <f>IF(VLOOKUP(B26,Pracownik,8,FALSE)="TAK",300,250)</f>
        <v>250</v>
      </c>
      <c r="M26" s="7">
        <f>Tabela5[[#This Row],[Brutto]]-Tabela5[[#This Row],[Składki pracownika]]-Tabela5[[#This Row],[Składka zdrowotna]]-Tabela5[[#This Row],[Koszty uzyskania przychodu]]</f>
        <v>4759.8248199999998</v>
      </c>
      <c r="N26" s="7">
        <f>IF(VLOOKUP(B26,Pracownik,9,FALSE)="TAK",300,0)</f>
        <v>300</v>
      </c>
      <c r="O26" s="12">
        <f>0.12*Tabela5[[#This Row],[Podstawa podatku]]-Tabela5[[#This Row],[Ulga podatkowa]]</f>
        <v>271.17897840000001</v>
      </c>
      <c r="P26" s="12">
        <f>Tabela5[[#This Row],[Brutto]]-Tabela5[[#This Row],[Składki pracownika]]-Tabela5[[#This Row],[Składka zdrowotna]]-Tabela5[[#This Row],[Zaliczka na podatek]]</f>
        <v>4738.6458415999996</v>
      </c>
      <c r="Q26" s="7">
        <f>VLOOKUP(B26,Pracownik,10,FALSE)</f>
        <v>120</v>
      </c>
      <c r="R26" s="12">
        <f>Tabela5[[#This Row],[Netto]]-Tabela5[[#This Row],[Ubezpieczenie]]</f>
        <v>4618.6458415999996</v>
      </c>
      <c r="S26" s="14">
        <f>0.0976*Tabela5[[#This Row],[Brutto]]</f>
        <v>622.68799999999999</v>
      </c>
      <c r="T26" s="14">
        <f>0.065*Tabela5[[#This Row],[Brutto]]</f>
        <v>414.7</v>
      </c>
      <c r="U26" s="14">
        <f>0.0167*Tabela5[[#This Row],[Brutto]]</f>
        <v>106.54599999999999</v>
      </c>
      <c r="V26" s="38">
        <f>SUM(Tabela5[[#This Row],[Składka emerytalna pracodawcy]:[Składka wypadkowa]])</f>
        <v>1143.934</v>
      </c>
      <c r="W26" s="14">
        <f ca="1">IF(VLOOKUP(B26,DaneDodatkowe!B:J,9,FALSE)="TAK",2.45/100*Tabela5[[#This Row],[Brutto]],0)</f>
        <v>156.31</v>
      </c>
      <c r="X26" s="14">
        <f ca="1">IF(VLOOKUP(B26,DaneDodatkowe!B:J,9,FALSE)="TAK",0.1/100*Tabela5[[#This Row],[Brutto]],0)</f>
        <v>6.38</v>
      </c>
      <c r="Y26" s="38">
        <f ca="1">Tabela5[[#This Row],[Brutto]]+Tabela5[[#This Row],[Składki pracodawcy razem]]+Tabela5[[#This Row],[FP]]+Tabela5[[#This Row],[FGŚP]]</f>
        <v>7686.6240000000007</v>
      </c>
    </row>
    <row r="27" spans="1:25" x14ac:dyDescent="0.3">
      <c r="A27">
        <f>ROW()-2</f>
        <v>25</v>
      </c>
      <c r="B27" t="s">
        <v>95</v>
      </c>
      <c r="C27" s="7">
        <f>VLOOKUP(Tabela5[[#This Row],[Pracownik]],Pracownicy!C:I,7,FALSE)</f>
        <v>4700</v>
      </c>
      <c r="D27" s="7">
        <f>0.1*Tabela5[[#This Row],[Wynagrodzenie]]</f>
        <v>470</v>
      </c>
      <c r="E27" s="12">
        <f>Tabela5[[#This Row],[Wynagrodzenie]]+Tabela5[[#This Row],[Premia 10%]]</f>
        <v>5170</v>
      </c>
      <c r="F27" s="7">
        <f>0.0976*Tabela5[[#This Row],[Brutto]]</f>
        <v>504.59200000000004</v>
      </c>
      <c r="G27" s="7">
        <f>0.0245*Tabela5[[#This Row],[Brutto]]</f>
        <v>126.66500000000001</v>
      </c>
      <c r="H27" s="7">
        <f>0.015*Tabela5[[#This Row],[Brutto]]</f>
        <v>77.55</v>
      </c>
      <c r="I27" s="12">
        <f>SUM(Tabela5[[#This Row],[Składka emerytalna pracownika]:[Składka rentowa pracownika]])</f>
        <v>708.80700000000002</v>
      </c>
      <c r="J27" s="7">
        <f>Tabela5[[#This Row],[Brutto]]-Tabela5[[#This Row],[Składki pracownika]]</f>
        <v>4461.1930000000002</v>
      </c>
      <c r="K27" s="12">
        <f>0.09*Tabela5[[#This Row],[Podstawa składki zdrowotnej]]</f>
        <v>401.50736999999998</v>
      </c>
      <c r="L27" s="7">
        <f>IF(VLOOKUP(B27,Pracownik,8,FALSE)="TAK",300,250)</f>
        <v>300</v>
      </c>
      <c r="M27" s="7">
        <f>Tabela5[[#This Row],[Brutto]]-Tabela5[[#This Row],[Składki pracownika]]-Tabela5[[#This Row],[Składka zdrowotna]]-Tabela5[[#This Row],[Koszty uzyskania przychodu]]</f>
        <v>3759.6856300000004</v>
      </c>
      <c r="N27" s="7">
        <f>IF(VLOOKUP(B27,Pracownik,9,FALSE)="TAK",300,0)</f>
        <v>300</v>
      </c>
      <c r="O27" s="12">
        <f>0.12*Tabela5[[#This Row],[Podstawa podatku]]-Tabela5[[#This Row],[Ulga podatkowa]]</f>
        <v>151.16227560000004</v>
      </c>
      <c r="P27" s="12">
        <f>Tabela5[[#This Row],[Brutto]]-Tabela5[[#This Row],[Składki pracownika]]-Tabela5[[#This Row],[Składka zdrowotna]]-Tabela5[[#This Row],[Zaliczka na podatek]]</f>
        <v>3908.5233544000002</v>
      </c>
      <c r="Q27" s="7">
        <f>VLOOKUP(B27,Pracownik,10,FALSE)</f>
        <v>60</v>
      </c>
      <c r="R27" s="12">
        <f>Tabela5[[#This Row],[Netto]]-Tabela5[[#This Row],[Ubezpieczenie]]</f>
        <v>3848.5233544000002</v>
      </c>
      <c r="S27" s="14">
        <f>0.0976*Tabela5[[#This Row],[Brutto]]</f>
        <v>504.59200000000004</v>
      </c>
      <c r="T27" s="14">
        <f>0.065*Tabela5[[#This Row],[Brutto]]</f>
        <v>336.05</v>
      </c>
      <c r="U27" s="14">
        <f>0.0167*Tabela5[[#This Row],[Brutto]]</f>
        <v>86.338999999999999</v>
      </c>
      <c r="V27" s="38">
        <f>SUM(Tabela5[[#This Row],[Składka emerytalna pracodawcy]:[Składka wypadkowa]])</f>
        <v>926.98099999999999</v>
      </c>
      <c r="W27" s="14">
        <f ca="1">IF(VLOOKUP(B27,DaneDodatkowe!B:J,9,FALSE)="TAK",2.45/100*Tabela5[[#This Row],[Brutto]],0)</f>
        <v>126.66500000000001</v>
      </c>
      <c r="X27" s="14">
        <f ca="1">IF(VLOOKUP(B27,DaneDodatkowe!B:J,9,FALSE)="TAK",0.1/100*Tabela5[[#This Row],[Brutto]],0)</f>
        <v>5.17</v>
      </c>
      <c r="Y27" s="38">
        <f ca="1">Tabela5[[#This Row],[Brutto]]+Tabela5[[#This Row],[Składki pracodawcy razem]]+Tabela5[[#This Row],[FP]]+Tabela5[[#This Row],[FGŚP]]</f>
        <v>6228.8159999999998</v>
      </c>
    </row>
    <row r="28" spans="1:25" x14ac:dyDescent="0.3">
      <c r="A28">
        <f>ROW()-2</f>
        <v>26</v>
      </c>
      <c r="B28" t="s">
        <v>64</v>
      </c>
      <c r="C28" s="7">
        <f>VLOOKUP(Tabela5[[#This Row],[Pracownik]],Pracownicy!C:I,7,FALSE)</f>
        <v>4900</v>
      </c>
      <c r="D28" s="7">
        <f>0.1*Tabela5[[#This Row],[Wynagrodzenie]]</f>
        <v>490</v>
      </c>
      <c r="E28" s="12">
        <f>Tabela5[[#This Row],[Wynagrodzenie]]+Tabela5[[#This Row],[Premia 10%]]</f>
        <v>5390</v>
      </c>
      <c r="F28" s="7">
        <f>0.0976*Tabela5[[#This Row],[Brutto]]</f>
        <v>526.06400000000008</v>
      </c>
      <c r="G28" s="7">
        <f>0.0245*Tabela5[[#This Row],[Brutto]]</f>
        <v>132.05500000000001</v>
      </c>
      <c r="H28" s="7">
        <f>0.015*Tabela5[[#This Row],[Brutto]]</f>
        <v>80.849999999999994</v>
      </c>
      <c r="I28" s="12">
        <f>SUM(Tabela5[[#This Row],[Składka emerytalna pracownika]:[Składka rentowa pracownika]])</f>
        <v>738.96900000000016</v>
      </c>
      <c r="J28" s="7">
        <f>Tabela5[[#This Row],[Brutto]]-Tabela5[[#This Row],[Składki pracownika]]</f>
        <v>4651.0309999999999</v>
      </c>
      <c r="K28" s="12">
        <f>0.09*Tabela5[[#This Row],[Podstawa składki zdrowotnej]]</f>
        <v>418.59278999999998</v>
      </c>
      <c r="L28" s="7">
        <f>IF(VLOOKUP(B28,Pracownik,8,FALSE)="TAK",300,250)</f>
        <v>250</v>
      </c>
      <c r="M28" s="7">
        <f>Tabela5[[#This Row],[Brutto]]-Tabela5[[#This Row],[Składki pracownika]]-Tabela5[[#This Row],[Składka zdrowotna]]-Tabela5[[#This Row],[Koszty uzyskania przychodu]]</f>
        <v>3982.4382100000003</v>
      </c>
      <c r="N28" s="7">
        <f>IF(VLOOKUP(B28,Pracownik,9,FALSE)="TAK",300,0)</f>
        <v>300</v>
      </c>
      <c r="O28" s="12">
        <f>0.12*Tabela5[[#This Row],[Podstawa podatku]]-Tabela5[[#This Row],[Ulga podatkowa]]</f>
        <v>177.89258519999998</v>
      </c>
      <c r="P28" s="12">
        <f>Tabela5[[#This Row],[Brutto]]-Tabela5[[#This Row],[Składki pracownika]]-Tabela5[[#This Row],[Składka zdrowotna]]-Tabela5[[#This Row],[Zaliczka na podatek]]</f>
        <v>4054.5456248</v>
      </c>
      <c r="Q28" s="7">
        <f>VLOOKUP(B28,Pracownik,10,FALSE)</f>
        <v>0</v>
      </c>
      <c r="R28" s="12">
        <f>Tabela5[[#This Row],[Netto]]-Tabela5[[#This Row],[Ubezpieczenie]]</f>
        <v>4054.5456248</v>
      </c>
      <c r="S28" s="14">
        <f>0.0976*Tabela5[[#This Row],[Brutto]]</f>
        <v>526.06400000000008</v>
      </c>
      <c r="T28" s="14">
        <f>0.065*Tabela5[[#This Row],[Brutto]]</f>
        <v>350.35</v>
      </c>
      <c r="U28" s="14">
        <f>0.0167*Tabela5[[#This Row],[Brutto]]</f>
        <v>90.012999999999991</v>
      </c>
      <c r="V28" s="38">
        <f>SUM(Tabela5[[#This Row],[Składka emerytalna pracodawcy]:[Składka wypadkowa]])</f>
        <v>966.42700000000013</v>
      </c>
      <c r="W28" s="14">
        <f ca="1">IF(VLOOKUP(B28,DaneDodatkowe!B:J,9,FALSE)="TAK",2.45/100*Tabela5[[#This Row],[Brutto]],0)</f>
        <v>132.05500000000001</v>
      </c>
      <c r="X28" s="14">
        <f ca="1">IF(VLOOKUP(B28,DaneDodatkowe!B:J,9,FALSE)="TAK",0.1/100*Tabela5[[#This Row],[Brutto]],0)</f>
        <v>5.39</v>
      </c>
      <c r="Y28" s="38">
        <f ca="1">Tabela5[[#This Row],[Brutto]]+Tabela5[[#This Row],[Składki pracodawcy razem]]+Tabela5[[#This Row],[FP]]+Tabela5[[#This Row],[FGŚP]]</f>
        <v>6493.8720000000003</v>
      </c>
    </row>
    <row r="29" spans="1:25" x14ac:dyDescent="0.3">
      <c r="A29">
        <f>ROW()-2</f>
        <v>27</v>
      </c>
      <c r="B29" t="s">
        <v>62</v>
      </c>
      <c r="C29" s="7">
        <f>VLOOKUP(Tabela5[[#This Row],[Pracownik]],Pracownicy!C:I,7,FALSE)</f>
        <v>7000</v>
      </c>
      <c r="D29" s="7">
        <f>0.1*Tabela5[[#This Row],[Wynagrodzenie]]</f>
        <v>700</v>
      </c>
      <c r="E29" s="12">
        <f>Tabela5[[#This Row],[Wynagrodzenie]]+Tabela5[[#This Row],[Premia 10%]]</f>
        <v>7700</v>
      </c>
      <c r="F29" s="7">
        <f>0.0976*Tabela5[[#This Row],[Brutto]]</f>
        <v>751.5200000000001</v>
      </c>
      <c r="G29" s="7">
        <f>0.0245*Tabela5[[#This Row],[Brutto]]</f>
        <v>188.65</v>
      </c>
      <c r="H29" s="7">
        <f>0.015*Tabela5[[#This Row],[Brutto]]</f>
        <v>115.5</v>
      </c>
      <c r="I29" s="12">
        <f>SUM(Tabela5[[#This Row],[Składka emerytalna pracownika]:[Składka rentowa pracownika]])</f>
        <v>1055.67</v>
      </c>
      <c r="J29" s="7">
        <f>Tabela5[[#This Row],[Brutto]]-Tabela5[[#This Row],[Składki pracownika]]</f>
        <v>6644.33</v>
      </c>
      <c r="K29" s="12">
        <f>0.09*Tabela5[[#This Row],[Podstawa składki zdrowotnej]]</f>
        <v>597.98969999999997</v>
      </c>
      <c r="L29" s="7">
        <f>IF(VLOOKUP(B29,Pracownik,8,FALSE)="TAK",300,250)</f>
        <v>250</v>
      </c>
      <c r="M29" s="7">
        <f>Tabela5[[#This Row],[Brutto]]-Tabela5[[#This Row],[Składki pracownika]]-Tabela5[[#This Row],[Składka zdrowotna]]-Tabela5[[#This Row],[Koszty uzyskania przychodu]]</f>
        <v>5796.3402999999998</v>
      </c>
      <c r="N29" s="7">
        <f>IF(VLOOKUP(B29,Pracownik,9,FALSE)="TAK",300,0)</f>
        <v>300</v>
      </c>
      <c r="O29" s="12">
        <f>0.12*Tabela5[[#This Row],[Podstawa podatku]]-Tabela5[[#This Row],[Ulga podatkowa]]</f>
        <v>395.56083599999999</v>
      </c>
      <c r="P29" s="12">
        <f>Tabela5[[#This Row],[Brutto]]-Tabela5[[#This Row],[Składki pracownika]]-Tabela5[[#This Row],[Składka zdrowotna]]-Tabela5[[#This Row],[Zaliczka na podatek]]</f>
        <v>5650.7794640000002</v>
      </c>
      <c r="Q29" s="7">
        <f>VLOOKUP(B29,Pracownik,10,FALSE)</f>
        <v>60</v>
      </c>
      <c r="R29" s="12">
        <f>Tabela5[[#This Row],[Netto]]-Tabela5[[#This Row],[Ubezpieczenie]]</f>
        <v>5590.7794640000002</v>
      </c>
      <c r="S29" s="14">
        <f>0.0976*Tabela5[[#This Row],[Brutto]]</f>
        <v>751.5200000000001</v>
      </c>
      <c r="T29" s="14">
        <f>0.065*Tabela5[[#This Row],[Brutto]]</f>
        <v>500.5</v>
      </c>
      <c r="U29" s="14">
        <f>0.0167*Tabela5[[#This Row],[Brutto]]</f>
        <v>128.59</v>
      </c>
      <c r="V29" s="38">
        <f>SUM(Tabela5[[#This Row],[Składka emerytalna pracodawcy]:[Składka wypadkowa]])</f>
        <v>1380.61</v>
      </c>
      <c r="W29" s="14">
        <f ca="1">IF(VLOOKUP(B29,DaneDodatkowe!B:J,9,FALSE)="TAK",2.45/100*Tabela5[[#This Row],[Brutto]],0)</f>
        <v>188.65</v>
      </c>
      <c r="X29" s="14">
        <f ca="1">IF(VLOOKUP(B29,DaneDodatkowe!B:J,9,FALSE)="TAK",0.1/100*Tabela5[[#This Row],[Brutto]],0)</f>
        <v>7.7</v>
      </c>
      <c r="Y29" s="38">
        <f ca="1">Tabela5[[#This Row],[Brutto]]+Tabela5[[#This Row],[Składki pracodawcy razem]]+Tabela5[[#This Row],[FP]]+Tabela5[[#This Row],[FGŚP]]</f>
        <v>9276.9600000000009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9AFD8-4DCA-48AF-81F4-AD66678FFED1}">
  <sheetPr codeName="Arkusz2">
    <pageSetUpPr fitToPage="1"/>
  </sheetPr>
  <dimension ref="C1:I21"/>
  <sheetViews>
    <sheetView showGridLines="0" workbookViewId="0">
      <selection activeCell="D2" sqref="D2"/>
    </sheetView>
  </sheetViews>
  <sheetFormatPr defaultRowHeight="14.4" x14ac:dyDescent="0.3"/>
  <cols>
    <col min="1" max="1" width="5.44140625" customWidth="1"/>
    <col min="2" max="2" width="6.44140625" customWidth="1"/>
    <col min="3" max="3" width="6.6640625" customWidth="1"/>
    <col min="4" max="4" width="27.33203125" bestFit="1" customWidth="1"/>
    <col min="5" max="5" width="10.44140625" style="7" bestFit="1" customWidth="1"/>
    <col min="6" max="6" width="6.109375" customWidth="1"/>
    <col min="7" max="7" width="6.6640625" customWidth="1"/>
    <col min="8" max="8" width="27.33203125" customWidth="1"/>
    <col min="9" max="9" width="10.44140625" customWidth="1"/>
  </cols>
  <sheetData>
    <row r="1" spans="3:9" ht="15" thickBot="1" x14ac:dyDescent="0.35">
      <c r="D1" s="20"/>
    </row>
    <row r="2" spans="3:9" ht="15.6" thickTop="1" thickBot="1" x14ac:dyDescent="0.35">
      <c r="D2" s="23" t="s">
        <v>158</v>
      </c>
      <c r="E2" s="22"/>
    </row>
    <row r="3" spans="3:9" ht="9.75" customHeight="1" thickTop="1" x14ac:dyDescent="0.3">
      <c r="C3" s="11"/>
      <c r="D3" s="21"/>
      <c r="E3" s="11"/>
    </row>
    <row r="4" spans="3:9" ht="21" customHeight="1" x14ac:dyDescent="0.3">
      <c r="C4" s="40" t="s">
        <v>37</v>
      </c>
      <c r="D4" s="40"/>
      <c r="E4" s="40"/>
      <c r="F4" s="15"/>
      <c r="G4" s="40" t="s">
        <v>38</v>
      </c>
      <c r="H4" s="40"/>
      <c r="I4" s="40"/>
    </row>
    <row r="5" spans="3:9" x14ac:dyDescent="0.3">
      <c r="C5" t="s">
        <v>0</v>
      </c>
      <c r="D5" t="s">
        <v>20</v>
      </c>
      <c r="E5" s="7" t="s">
        <v>21</v>
      </c>
      <c r="G5" t="s">
        <v>0</v>
      </c>
      <c r="H5" t="s">
        <v>20</v>
      </c>
      <c r="I5" t="s">
        <v>21</v>
      </c>
    </row>
    <row r="6" spans="3:9" x14ac:dyDescent="0.3">
      <c r="C6" s="13">
        <v>1</v>
      </c>
      <c r="D6" s="13" t="s">
        <v>6</v>
      </c>
      <c r="E6" s="14">
        <f>VLOOKUP(D2,Pracownik,7,FALSE)</f>
        <v>4800</v>
      </c>
      <c r="G6">
        <v>1</v>
      </c>
      <c r="H6" t="s">
        <v>6</v>
      </c>
      <c r="I6" s="7">
        <f>VLOOKUP(D2,Pracownik,7,FALSE)</f>
        <v>4800</v>
      </c>
    </row>
    <row r="7" spans="3:9" x14ac:dyDescent="0.3">
      <c r="C7">
        <v>2</v>
      </c>
      <c r="D7" t="s">
        <v>24</v>
      </c>
      <c r="E7" s="7">
        <f>0.1*E6</f>
        <v>480</v>
      </c>
      <c r="G7">
        <v>2</v>
      </c>
      <c r="H7" t="s">
        <v>22</v>
      </c>
      <c r="I7" s="7">
        <f>0.1*I6</f>
        <v>480</v>
      </c>
    </row>
    <row r="8" spans="3:9" x14ac:dyDescent="0.3">
      <c r="C8" s="11">
        <v>3</v>
      </c>
      <c r="D8" s="11" t="s">
        <v>23</v>
      </c>
      <c r="E8" s="12">
        <f>E6+E7</f>
        <v>5280</v>
      </c>
      <c r="G8" s="11">
        <v>3</v>
      </c>
      <c r="H8" s="11" t="s">
        <v>23</v>
      </c>
      <c r="I8" s="12">
        <f>I6+I7</f>
        <v>5280</v>
      </c>
    </row>
    <row r="9" spans="3:9" x14ac:dyDescent="0.3">
      <c r="C9">
        <v>4</v>
      </c>
      <c r="D9" t="s">
        <v>25</v>
      </c>
      <c r="E9" s="7">
        <f>0.0976*E8</f>
        <v>515.32800000000009</v>
      </c>
      <c r="G9">
        <v>4</v>
      </c>
      <c r="H9" t="s">
        <v>25</v>
      </c>
      <c r="I9" s="7">
        <f>0.0976*I8</f>
        <v>515.32800000000009</v>
      </c>
    </row>
    <row r="10" spans="3:9" x14ac:dyDescent="0.3">
      <c r="C10">
        <v>5</v>
      </c>
      <c r="D10" t="s">
        <v>26</v>
      </c>
      <c r="E10" s="7">
        <f>0.0245*E8</f>
        <v>129.36000000000001</v>
      </c>
      <c r="G10">
        <v>5</v>
      </c>
      <c r="H10" t="s">
        <v>27</v>
      </c>
      <c r="I10" s="7">
        <f>0.065*I8</f>
        <v>343.2</v>
      </c>
    </row>
    <row r="11" spans="3:9" x14ac:dyDescent="0.3">
      <c r="C11">
        <v>6</v>
      </c>
      <c r="D11" t="s">
        <v>27</v>
      </c>
      <c r="E11" s="7">
        <f>0.015*E8</f>
        <v>79.2</v>
      </c>
      <c r="G11">
        <v>6</v>
      </c>
      <c r="H11" t="s">
        <v>39</v>
      </c>
      <c r="I11" s="7">
        <f>1.67/100*I8</f>
        <v>88.176000000000002</v>
      </c>
    </row>
    <row r="12" spans="3:9" x14ac:dyDescent="0.3">
      <c r="C12" s="11">
        <v>7</v>
      </c>
      <c r="D12" s="11" t="s">
        <v>28</v>
      </c>
      <c r="E12" s="12">
        <f>SUM(E9:E11)</f>
        <v>723.88800000000015</v>
      </c>
      <c r="G12" s="11">
        <v>7</v>
      </c>
      <c r="H12" s="11" t="s">
        <v>40</v>
      </c>
      <c r="I12" s="12">
        <f>SUM(I9:I11)</f>
        <v>946.70400000000006</v>
      </c>
    </row>
    <row r="13" spans="3:9" x14ac:dyDescent="0.3">
      <c r="C13">
        <v>8</v>
      </c>
      <c r="D13" t="s">
        <v>29</v>
      </c>
      <c r="E13" s="7">
        <f>E8-E12</f>
        <v>4556.1120000000001</v>
      </c>
      <c r="G13">
        <v>8</v>
      </c>
      <c r="H13" t="s">
        <v>41</v>
      </c>
      <c r="I13" s="7">
        <f ca="1">IF(VLOOKUP(D2,DaneDodatkowe!B:J,9,FALSE)="TAK",2.45/100*I8,0)</f>
        <v>0</v>
      </c>
    </row>
    <row r="14" spans="3:9" x14ac:dyDescent="0.3">
      <c r="C14" s="11">
        <v>9</v>
      </c>
      <c r="D14" s="11" t="s">
        <v>30</v>
      </c>
      <c r="E14" s="12">
        <f>0.09*E13</f>
        <v>410.05007999999998</v>
      </c>
      <c r="G14">
        <v>9</v>
      </c>
      <c r="H14" t="s">
        <v>42</v>
      </c>
      <c r="I14" s="7">
        <f ca="1">IF(VLOOKUP(D2,DaneDodatkowe!B:J,9,FALSE)="TAK",0.1/100*I8,0)</f>
        <v>0</v>
      </c>
    </row>
    <row r="15" spans="3:9" x14ac:dyDescent="0.3">
      <c r="C15">
        <v>10</v>
      </c>
      <c r="D15" t="s">
        <v>31</v>
      </c>
      <c r="E15" s="7">
        <f>IF(VLOOKUP(D2,Pracownik,8,FALSE)="TAK",300,250)</f>
        <v>250</v>
      </c>
      <c r="G15" s="11">
        <v>10</v>
      </c>
      <c r="H15" s="11" t="s">
        <v>43</v>
      </c>
      <c r="I15" s="12">
        <f ca="1">I8+I12+I13+I14</f>
        <v>6226.7039999999997</v>
      </c>
    </row>
    <row r="16" spans="3:9" x14ac:dyDescent="0.3">
      <c r="C16" s="13">
        <v>11</v>
      </c>
      <c r="D16" s="13" t="s">
        <v>34</v>
      </c>
      <c r="E16" s="14">
        <f>E8-E12-E14-E15</f>
        <v>3896.0619200000001</v>
      </c>
    </row>
    <row r="17" spans="3:5" x14ac:dyDescent="0.3">
      <c r="C17" s="13">
        <v>12</v>
      </c>
      <c r="D17" s="13" t="s">
        <v>35</v>
      </c>
      <c r="E17" s="14">
        <f>IF(VLOOKUP(D2,Pracownik,9,FALSE)="TAK",300,0)</f>
        <v>300</v>
      </c>
    </row>
    <row r="18" spans="3:5" x14ac:dyDescent="0.3">
      <c r="C18" s="11">
        <v>13</v>
      </c>
      <c r="D18" s="11" t="s">
        <v>36</v>
      </c>
      <c r="E18" s="12">
        <f>(0.12*E16)-E17</f>
        <v>167.52743040000001</v>
      </c>
    </row>
    <row r="19" spans="3:5" x14ac:dyDescent="0.3">
      <c r="C19" s="11">
        <v>14</v>
      </c>
      <c r="D19" s="11" t="s">
        <v>32</v>
      </c>
      <c r="E19" s="12">
        <f>E8-E12-E14-E18</f>
        <v>3978.5344896000001</v>
      </c>
    </row>
    <row r="20" spans="3:5" x14ac:dyDescent="0.3">
      <c r="C20" s="13">
        <v>15</v>
      </c>
      <c r="D20" t="s">
        <v>9</v>
      </c>
      <c r="E20" s="7">
        <f>VLOOKUP(D2,Pracownik,10,FALSE)</f>
        <v>60</v>
      </c>
    </row>
    <row r="21" spans="3:5" x14ac:dyDescent="0.3">
      <c r="C21" s="11">
        <v>16</v>
      </c>
      <c r="D21" s="11" t="s">
        <v>33</v>
      </c>
      <c r="E21" s="12">
        <f>E19-E20</f>
        <v>3918.5344896000001</v>
      </c>
    </row>
  </sheetData>
  <mergeCells count="2">
    <mergeCell ref="C4:E4"/>
    <mergeCell ref="G4:I4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WydrukWynagrodzenia">
                <anchor moveWithCells="1" sizeWithCells="1">
                  <from>
                    <xdr:col>7</xdr:col>
                    <xdr:colOff>121920</xdr:colOff>
                    <xdr:row>16</xdr:row>
                    <xdr:rowOff>114300</xdr:rowOff>
                  </from>
                  <to>
                    <xdr:col>7</xdr:col>
                    <xdr:colOff>1607820</xdr:colOff>
                    <xdr:row>18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15E9389-C9A8-42FF-8826-9433CC3A3416}">
          <x14:formula1>
            <xm:f>Pracownicy!$C$2:$C$266</xm:f>
          </x14:formula1>
          <xm:sqref>D2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7FC21-BE1E-4EF4-831B-FAF9C5666B94}">
  <sheetPr codeName="Arkusz4">
    <pageSetUpPr fitToPage="1"/>
  </sheetPr>
  <dimension ref="A1:B67"/>
  <sheetViews>
    <sheetView showGridLines="0" workbookViewId="0">
      <selection activeCell="R1" sqref="R1"/>
    </sheetView>
  </sheetViews>
  <sheetFormatPr defaultRowHeight="14.4" x14ac:dyDescent="0.3"/>
  <cols>
    <col min="1" max="1" width="16.5546875" customWidth="1"/>
    <col min="2" max="2" width="16.77734375" customWidth="1"/>
    <col min="12" max="12" width="9.109375" customWidth="1"/>
    <col min="13" max="13" width="7.5546875" customWidth="1"/>
    <col min="14" max="14" width="8" customWidth="1"/>
  </cols>
  <sheetData>
    <row r="1" spans="1:2" x14ac:dyDescent="0.3">
      <c r="A1" s="17" t="s">
        <v>51</v>
      </c>
      <c r="B1" t="s">
        <v>53</v>
      </c>
    </row>
    <row r="2" spans="1:2" x14ac:dyDescent="0.3">
      <c r="A2" s="18" t="s">
        <v>11</v>
      </c>
      <c r="B2" s="46">
        <v>15000</v>
      </c>
    </row>
    <row r="3" spans="1:2" x14ac:dyDescent="0.3">
      <c r="A3" s="18" t="s">
        <v>63</v>
      </c>
      <c r="B3" s="46">
        <v>7000</v>
      </c>
    </row>
    <row r="4" spans="1:2" x14ac:dyDescent="0.3">
      <c r="A4" s="18" t="s">
        <v>15</v>
      </c>
      <c r="B4" s="46">
        <v>7000</v>
      </c>
    </row>
    <row r="5" spans="1:2" x14ac:dyDescent="0.3">
      <c r="A5" s="18" t="s">
        <v>61</v>
      </c>
      <c r="B5" s="46">
        <v>5800</v>
      </c>
    </row>
    <row r="6" spans="1:2" x14ac:dyDescent="0.3">
      <c r="A6" s="18" t="s">
        <v>47</v>
      </c>
      <c r="B6" s="46">
        <v>5750</v>
      </c>
    </row>
    <row r="7" spans="1:2" x14ac:dyDescent="0.3">
      <c r="A7" s="18" t="s">
        <v>44</v>
      </c>
      <c r="B7" s="46">
        <v>5500</v>
      </c>
    </row>
    <row r="8" spans="1:2" x14ac:dyDescent="0.3">
      <c r="A8" s="18" t="s">
        <v>97</v>
      </c>
      <c r="B8" s="46">
        <v>5000</v>
      </c>
    </row>
    <row r="9" spans="1:2" x14ac:dyDescent="0.3">
      <c r="A9" s="18" t="s">
        <v>13</v>
      </c>
      <c r="B9" s="46">
        <v>4925</v>
      </c>
    </row>
    <row r="10" spans="1:2" x14ac:dyDescent="0.3">
      <c r="A10" s="18" t="s">
        <v>56</v>
      </c>
      <c r="B10" s="46">
        <v>4775</v>
      </c>
    </row>
    <row r="11" spans="1:2" x14ac:dyDescent="0.3">
      <c r="A11" s="18" t="s">
        <v>14</v>
      </c>
      <c r="B11" s="46">
        <v>4720</v>
      </c>
    </row>
    <row r="12" spans="1:2" x14ac:dyDescent="0.3">
      <c r="A12" s="18" t="s">
        <v>52</v>
      </c>
      <c r="B12" s="46">
        <v>5492.5925925925922</v>
      </c>
    </row>
    <row r="18" spans="1:2" x14ac:dyDescent="0.3">
      <c r="A18" s="17" t="s">
        <v>51</v>
      </c>
      <c r="B18" t="s">
        <v>54</v>
      </c>
    </row>
    <row r="19" spans="1:2" x14ac:dyDescent="0.3">
      <c r="A19" s="18" t="s">
        <v>14</v>
      </c>
      <c r="B19" s="43">
        <v>10</v>
      </c>
    </row>
    <row r="20" spans="1:2" x14ac:dyDescent="0.3">
      <c r="A20" s="18" t="s">
        <v>56</v>
      </c>
      <c r="B20" s="43">
        <v>4</v>
      </c>
    </row>
    <row r="21" spans="1:2" x14ac:dyDescent="0.3">
      <c r="A21" s="18" t="s">
        <v>13</v>
      </c>
      <c r="B21" s="43">
        <v>4</v>
      </c>
    </row>
    <row r="22" spans="1:2" x14ac:dyDescent="0.3">
      <c r="A22" s="18" t="s">
        <v>44</v>
      </c>
      <c r="B22" s="43">
        <v>2</v>
      </c>
    </row>
    <row r="23" spans="1:2" x14ac:dyDescent="0.3">
      <c r="A23" s="18" t="s">
        <v>47</v>
      </c>
      <c r="B23" s="43">
        <v>2</v>
      </c>
    </row>
    <row r="24" spans="1:2" x14ac:dyDescent="0.3">
      <c r="A24" s="18" t="s">
        <v>11</v>
      </c>
      <c r="B24" s="43">
        <v>1</v>
      </c>
    </row>
    <row r="25" spans="1:2" x14ac:dyDescent="0.3">
      <c r="A25" s="18" t="s">
        <v>61</v>
      </c>
      <c r="B25" s="43">
        <v>1</v>
      </c>
    </row>
    <row r="26" spans="1:2" x14ac:dyDescent="0.3">
      <c r="A26" s="18" t="s">
        <v>63</v>
      </c>
      <c r="B26" s="43">
        <v>1</v>
      </c>
    </row>
    <row r="27" spans="1:2" x14ac:dyDescent="0.3">
      <c r="A27" s="18" t="s">
        <v>15</v>
      </c>
      <c r="B27" s="43">
        <v>1</v>
      </c>
    </row>
    <row r="28" spans="1:2" x14ac:dyDescent="0.3">
      <c r="A28" s="18" t="s">
        <v>97</v>
      </c>
      <c r="B28" s="43">
        <v>1</v>
      </c>
    </row>
    <row r="29" spans="1:2" x14ac:dyDescent="0.3">
      <c r="A29" s="18" t="s">
        <v>52</v>
      </c>
      <c r="B29" s="43">
        <v>27</v>
      </c>
    </row>
    <row r="38" spans="1:2" x14ac:dyDescent="0.3">
      <c r="A38" s="17" t="s">
        <v>51</v>
      </c>
      <c r="B38" t="s">
        <v>67</v>
      </c>
    </row>
    <row r="39" spans="1:2" x14ac:dyDescent="0.3">
      <c r="A39" s="18" t="s">
        <v>82</v>
      </c>
      <c r="B39" s="43">
        <v>3</v>
      </c>
    </row>
    <row r="40" spans="1:2" x14ac:dyDescent="0.3">
      <c r="A40" s="18" t="s">
        <v>70</v>
      </c>
      <c r="B40" s="43">
        <v>9</v>
      </c>
    </row>
    <row r="41" spans="1:2" x14ac:dyDescent="0.3">
      <c r="A41" s="18" t="s">
        <v>71</v>
      </c>
      <c r="B41" s="43">
        <v>8</v>
      </c>
    </row>
    <row r="42" spans="1:2" x14ac:dyDescent="0.3">
      <c r="A42" s="18" t="s">
        <v>72</v>
      </c>
      <c r="B42" s="43">
        <v>2</v>
      </c>
    </row>
    <row r="43" spans="1:2" x14ac:dyDescent="0.3">
      <c r="A43" s="18" t="s">
        <v>81</v>
      </c>
      <c r="B43" s="43">
        <v>5</v>
      </c>
    </row>
    <row r="44" spans="1:2" x14ac:dyDescent="0.3">
      <c r="A44" s="18" t="s">
        <v>52</v>
      </c>
      <c r="B44" s="43">
        <v>27</v>
      </c>
    </row>
    <row r="49" spans="1:2" x14ac:dyDescent="0.3">
      <c r="A49" s="17" t="s">
        <v>51</v>
      </c>
      <c r="B49" t="s">
        <v>67</v>
      </c>
    </row>
    <row r="50" spans="1:2" x14ac:dyDescent="0.3">
      <c r="A50" s="18" t="s">
        <v>77</v>
      </c>
      <c r="B50" s="43">
        <v>18</v>
      </c>
    </row>
    <row r="51" spans="1:2" x14ac:dyDescent="0.3">
      <c r="A51" s="18" t="s">
        <v>76</v>
      </c>
      <c r="B51" s="43">
        <v>9</v>
      </c>
    </row>
    <row r="52" spans="1:2" x14ac:dyDescent="0.3">
      <c r="A52" s="18" t="s">
        <v>52</v>
      </c>
      <c r="B52" s="43">
        <v>27</v>
      </c>
    </row>
    <row r="64" spans="1:2" x14ac:dyDescent="0.3">
      <c r="A64" s="17" t="s">
        <v>51</v>
      </c>
      <c r="B64" t="s">
        <v>53</v>
      </c>
    </row>
    <row r="65" spans="1:2" x14ac:dyDescent="0.3">
      <c r="A65" s="18" t="s">
        <v>77</v>
      </c>
      <c r="B65" s="19">
        <v>4777.7777777777774</v>
      </c>
    </row>
    <row r="66" spans="1:2" x14ac:dyDescent="0.3">
      <c r="A66" s="18" t="s">
        <v>76</v>
      </c>
      <c r="B66" s="19">
        <v>6922.2222222222226</v>
      </c>
    </row>
    <row r="67" spans="1:2" x14ac:dyDescent="0.3">
      <c r="A67" s="18" t="s">
        <v>52</v>
      </c>
      <c r="B67" s="19">
        <v>5492.5925925925922</v>
      </c>
    </row>
  </sheetData>
  <sortState xmlns:xlrd2="http://schemas.microsoft.com/office/spreadsheetml/2017/richdata2" ref="A38:B44">
    <sortCondition ref="A39"/>
  </sortState>
  <pageMargins left="0.7" right="0.7" top="0.75" bottom="0.75" header="0.3" footer="0.3"/>
  <pageSetup paperSize="9" scale="76" fitToHeight="0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9" name="Button 1">
              <controlPr defaultSize="0" print="0" autoFill="0" autoPict="0" macro="[0]!OdswiezenieWykresow">
                <anchor moveWithCells="1" sizeWithCells="1">
                  <from>
                    <xdr:col>15</xdr:col>
                    <xdr:colOff>121920</xdr:colOff>
                    <xdr:row>1</xdr:row>
                    <xdr:rowOff>45720</xdr:rowOff>
                  </from>
                  <to>
                    <xdr:col>17</xdr:col>
                    <xdr:colOff>198120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0" name="Button 2">
              <controlPr defaultSize="0" print="0" autoFill="0" autoPict="0" macro="[0]!WydrukWykresow">
                <anchor moveWithCells="1" sizeWithCells="1">
                  <from>
                    <xdr:col>15</xdr:col>
                    <xdr:colOff>121920</xdr:colOff>
                    <xdr:row>5</xdr:row>
                    <xdr:rowOff>45720</xdr:rowOff>
                  </from>
                  <to>
                    <xdr:col>17</xdr:col>
                    <xdr:colOff>198120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1" name="Button 3">
              <controlPr defaultSize="0" print="0" autoFill="0" autoPict="0" macro="[0]!ZapisWykresow">
                <anchor moveWithCells="1" sizeWithCells="1">
                  <from>
                    <xdr:col>15</xdr:col>
                    <xdr:colOff>121920</xdr:colOff>
                    <xdr:row>9</xdr:row>
                    <xdr:rowOff>45720</xdr:rowOff>
                  </from>
                  <to>
                    <xdr:col>17</xdr:col>
                    <xdr:colOff>198120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99DC7-D212-4A12-BC0B-01E225BA74EF}">
  <sheetPr codeName="Arkusz5"/>
  <dimension ref="A1:J28"/>
  <sheetViews>
    <sheetView workbookViewId="0">
      <selection activeCell="B12" sqref="B12"/>
    </sheetView>
  </sheetViews>
  <sheetFormatPr defaultRowHeight="14.4" x14ac:dyDescent="0.3"/>
  <cols>
    <col min="1" max="1" width="5.6640625" customWidth="1"/>
    <col min="2" max="2" width="21.44140625" bestFit="1" customWidth="1"/>
    <col min="3" max="3" width="9.109375" style="8"/>
    <col min="4" max="4" width="19.6640625" style="8" bestFit="1" customWidth="1"/>
    <col min="5" max="5" width="19.6640625" style="18" customWidth="1"/>
    <col min="6" max="6" width="20.5546875" customWidth="1"/>
    <col min="7" max="7" width="19.5546875" style="27" bestFit="1" customWidth="1"/>
    <col min="8" max="8" width="19.5546875" style="29" customWidth="1"/>
    <col min="9" max="9" width="15.33203125" style="6" customWidth="1"/>
    <col min="10" max="10" width="11" customWidth="1"/>
  </cols>
  <sheetData>
    <row r="1" spans="1:10" s="24" customFormat="1" ht="28.8" x14ac:dyDescent="0.3">
      <c r="A1" s="24" t="s">
        <v>0</v>
      </c>
      <c r="B1" s="24" t="s">
        <v>1</v>
      </c>
      <c r="C1" s="24" t="s">
        <v>66</v>
      </c>
      <c r="D1" s="24" t="s">
        <v>69</v>
      </c>
      <c r="E1" s="25" t="s">
        <v>2</v>
      </c>
      <c r="F1" s="2" t="s">
        <v>75</v>
      </c>
      <c r="G1" s="26" t="s">
        <v>6</v>
      </c>
      <c r="H1" s="30" t="s">
        <v>3</v>
      </c>
      <c r="I1" s="28" t="s">
        <v>83</v>
      </c>
      <c r="J1" s="24" t="s">
        <v>92</v>
      </c>
    </row>
    <row r="2" spans="1:10" x14ac:dyDescent="0.3">
      <c r="A2">
        <f>ROW()-1</f>
        <v>1</v>
      </c>
      <c r="B2" s="6" t="s">
        <v>55</v>
      </c>
      <c r="C2" s="10">
        <f ca="1">VLOOKUP(Tabela4[[#This Row],[Pracownik]],Pracownicy!C:M,11,FALSE)</f>
        <v>34</v>
      </c>
      <c r="D2" s="8" t="str">
        <f ca="1">IF(Tabela4[[#This Row],[Wiek]]&lt;25,"18-25",IF(Tabela4[[#This Row],[Wiek]]&lt;36,"25-35",IF(Tabela4[[#This Row],[Wiek]]&lt;46,"36-45",IF(Tabela4[[#This Row],[Wiek]]&lt;55,"46-55","55+"))))</f>
        <v>25-35</v>
      </c>
      <c r="E2" s="18" t="str">
        <f>VLOOKUP(Tabela4[[#This Row],[Pracownik]],Pracownicy!C:D,2,FALSE)</f>
        <v>magazynier</v>
      </c>
      <c r="F2" t="str">
        <f>VLOOKUP(Tabela4[[#This Row],[Stanowisko]],Stanowiska!A:B,2,FALSE)</f>
        <v>fizyczny</v>
      </c>
      <c r="G2" s="27">
        <f>VLOOKUP(Tabela4[[#This Row],[Pracownik]],Pracownicy!C:I,7,FALSE)</f>
        <v>4600</v>
      </c>
      <c r="H2" s="29">
        <f>VLOOKUP(Tabela4[[#This Row],[Pracownik]],Tabela1[[Pracownik]:[PESEL]],3,FALSE)</f>
        <v>89070122558</v>
      </c>
      <c r="I2" t="str">
        <f>IF(ISEVEN(Tabela4[[#This Row],[PESEL]]),"kobieta","mężczyzna")</f>
        <v>kobieta</v>
      </c>
      <c r="J2" t="str">
        <f ca="1">IF(Tabela4[[#This Row],[Płeć]]="kobieta",IF(Tabela4[[#This Row],[Wiek]]&gt;55,"NIE","TAK"),IF(Tabela4[[#This Row],[Wiek]]&gt;60,"NIE","TAK"))</f>
        <v>TAK</v>
      </c>
    </row>
    <row r="3" spans="1:10" x14ac:dyDescent="0.3">
      <c r="A3">
        <f>ROW()-1</f>
        <v>2</v>
      </c>
      <c r="B3" s="6" t="s">
        <v>46</v>
      </c>
      <c r="C3" s="10">
        <f ca="1">VLOOKUP(Tabela4[[#This Row],[Pracownik]],Pracownicy!C:M,11,FALSE)</f>
        <v>56</v>
      </c>
      <c r="D3" s="8" t="str">
        <f ca="1">IF(Tabela4[[#This Row],[Wiek]]&lt;25,"18-25",IF(Tabela4[[#This Row],[Wiek]]&lt;36,"25-35",IF(Tabela4[[#This Row],[Wiek]]&lt;46,"36-45",IF(Tabela4[[#This Row],[Wiek]]&lt;55,"46-55","55+"))))</f>
        <v>55+</v>
      </c>
      <c r="E3" s="18" t="str">
        <f>VLOOKUP(Tabela4[[#This Row],[Pracownik]],Pracownicy!C:D,2,FALSE)</f>
        <v>księgowy</v>
      </c>
      <c r="F3" t="str">
        <f>VLOOKUP(Tabela4[[#This Row],[Stanowisko]],Stanowiska!A:B,2,FALSE)</f>
        <v>umysłowy</v>
      </c>
      <c r="G3" s="27">
        <f>VLOOKUP(Tabela4[[#This Row],[Pracownik]],Pracownicy!C:I,7,FALSE)</f>
        <v>5500</v>
      </c>
      <c r="H3" s="29">
        <f>VLOOKUP(Tabela4[[#This Row],[Pracownik]],Tabela1[[Pracownik]:[PESEL]],3,FALSE)</f>
        <v>67110122558</v>
      </c>
      <c r="I3" t="str">
        <f>IF(ISEVEN(Tabela4[[#This Row],[PESEL]]),"kobieta","mężczyzna")</f>
        <v>kobieta</v>
      </c>
      <c r="J3" t="str">
        <f ca="1">IF(Tabela4[[#This Row],[Płeć]]="kobieta",IF(Tabela4[[#This Row],[Wiek]]&gt;55,"NIE","TAK"),IF(Tabela4[[#This Row],[Wiek]]&gt;60,"NIE","TAK"))</f>
        <v>NIE</v>
      </c>
    </row>
    <row r="4" spans="1:10" x14ac:dyDescent="0.3">
      <c r="A4">
        <f>ROW()-1</f>
        <v>3</v>
      </c>
      <c r="B4" s="6" t="s">
        <v>80</v>
      </c>
      <c r="C4" s="10">
        <f ca="1">VLOOKUP(Tabela4[[#This Row],[Pracownik]],Pracownicy!C:M,11,FALSE)</f>
        <v>18</v>
      </c>
      <c r="D4" s="8" t="str">
        <f ca="1">IF(Tabela4[[#This Row],[Wiek]]&lt;25,"18-25",IF(Tabela4[[#This Row],[Wiek]]&lt;36,"25-35",IF(Tabela4[[#This Row],[Wiek]]&lt;46,"36-45",IF(Tabela4[[#This Row],[Wiek]]&lt;55,"46-55","55+"))))</f>
        <v>18-25</v>
      </c>
      <c r="E4" s="18" t="str">
        <f>VLOOKUP(Tabela4[[#This Row],[Pracownik]],Pracownicy!C:D,2,FALSE)</f>
        <v>pracownik produkcji</v>
      </c>
      <c r="F4" t="str">
        <f>VLOOKUP(Tabela4[[#This Row],[Stanowisko]],Stanowiska!A:B,2,FALSE)</f>
        <v>fizyczny</v>
      </c>
      <c r="G4" s="27">
        <f>VLOOKUP(Tabela4[[#This Row],[Pracownik]],Pracownicy!C:I,7,FALSE)</f>
        <v>4800</v>
      </c>
      <c r="H4" s="29" t="str">
        <f>VLOOKUP(Tabela4[[#This Row],[Pracownik]],Tabela1[[Pracownik]:[PESEL]],3,FALSE)</f>
        <v>05320166557</v>
      </c>
      <c r="I4" t="str">
        <f>IF(ISEVEN(Tabela4[[#This Row],[PESEL]]),"kobieta","mężczyzna")</f>
        <v>mężczyzna</v>
      </c>
      <c r="J4" t="str">
        <f ca="1">IF(Tabela4[[#This Row],[Płeć]]="kobieta",IF(Tabela4[[#This Row],[Wiek]]&gt;55,"NIE","TAK"),IF(Tabela4[[#This Row],[Wiek]]&gt;60,"NIE","TAK"))</f>
        <v>TAK</v>
      </c>
    </row>
    <row r="5" spans="1:10" x14ac:dyDescent="0.3">
      <c r="A5">
        <f>ROW()-1</f>
        <v>4</v>
      </c>
      <c r="B5" s="6" t="s">
        <v>93</v>
      </c>
      <c r="C5" s="10">
        <f ca="1">VLOOKUP(Tabela4[[#This Row],[Pracownik]],Pracownicy!C:M,11,FALSE)</f>
        <v>22</v>
      </c>
      <c r="D5" s="8" t="str">
        <f ca="1">IF(Tabela4[[#This Row],[Wiek]]&lt;25,"18-25",IF(Tabela4[[#This Row],[Wiek]]&lt;36,"25-35",IF(Tabela4[[#This Row],[Wiek]]&lt;46,"36-45",IF(Tabela4[[#This Row],[Wiek]]&lt;55,"46-55","55+"))))</f>
        <v>18-25</v>
      </c>
      <c r="E5" s="18" t="str">
        <f>VLOOKUP(Tabela4[[#This Row],[Pracownik]],Pracownicy!C:D,2,FALSE)</f>
        <v>magazynier</v>
      </c>
      <c r="F5" t="str">
        <f>VLOOKUP(Tabela4[[#This Row],[Stanowisko]],Stanowiska!A:B,2,FALSE)</f>
        <v>fizyczny</v>
      </c>
      <c r="G5" s="27">
        <f>VLOOKUP(Tabela4[[#This Row],[Pracownik]],Pracownicy!C:I,7,FALSE)</f>
        <v>4800</v>
      </c>
      <c r="H5" s="29" t="str">
        <f>VLOOKUP(Tabela4[[#This Row],[Pracownik]],Tabela1[[Pracownik]:[PESEL]],3,FALSE)</f>
        <v>02210111554</v>
      </c>
      <c r="I5" t="str">
        <f>IF(ISEVEN(Tabela4[[#This Row],[PESEL]]),"kobieta","mężczyzna")</f>
        <v>kobieta</v>
      </c>
      <c r="J5" t="str">
        <f ca="1">IF(Tabela4[[#This Row],[Płeć]]="kobieta",IF(Tabela4[[#This Row],[Wiek]]&gt;55,"NIE","TAK"),IF(Tabela4[[#This Row],[Wiek]]&gt;60,"NIE","TAK"))</f>
        <v>TAK</v>
      </c>
    </row>
    <row r="6" spans="1:10" x14ac:dyDescent="0.3">
      <c r="A6">
        <f>ROW()-1</f>
        <v>5</v>
      </c>
      <c r="B6" s="6" t="s">
        <v>57</v>
      </c>
      <c r="C6" s="10">
        <f ca="1">VLOOKUP(Tabela4[[#This Row],[Pracownik]],Pracownicy!C:M,11,FALSE)</f>
        <v>30</v>
      </c>
      <c r="D6" s="8" t="str">
        <f ca="1">IF(Tabela4[[#This Row],[Wiek]]&lt;25,"18-25",IF(Tabela4[[#This Row],[Wiek]]&lt;36,"25-35",IF(Tabela4[[#This Row],[Wiek]]&lt;46,"36-45",IF(Tabela4[[#This Row],[Wiek]]&lt;55,"46-55","55+"))))</f>
        <v>25-35</v>
      </c>
      <c r="E6" s="18" t="str">
        <f>VLOOKUP(Tabela4[[#This Row],[Pracownik]],Pracownicy!C:D,2,FALSE)</f>
        <v>pracownik produkcji</v>
      </c>
      <c r="F6" t="str">
        <f>VLOOKUP(Tabela4[[#This Row],[Stanowisko]],Stanowiska!A:B,2,FALSE)</f>
        <v>fizyczny</v>
      </c>
      <c r="G6" s="27">
        <f>VLOOKUP(Tabela4[[#This Row],[Pracownik]],Pracownicy!C:I,7,FALSE)</f>
        <v>4600</v>
      </c>
      <c r="H6" s="29">
        <f>VLOOKUP(Tabela4[[#This Row],[Pracownik]],Tabela1[[Pracownik]:[PESEL]],3,FALSE)</f>
        <v>93050122556</v>
      </c>
      <c r="I6" t="str">
        <f>IF(ISEVEN(Tabela4[[#This Row],[PESEL]]),"kobieta","mężczyzna")</f>
        <v>kobieta</v>
      </c>
      <c r="J6" t="str">
        <f ca="1">IF(Tabela4[[#This Row],[Płeć]]="kobieta",IF(Tabela4[[#This Row],[Wiek]]&gt;55,"NIE","TAK"),IF(Tabela4[[#This Row],[Wiek]]&gt;60,"NIE","TAK"))</f>
        <v>TAK</v>
      </c>
    </row>
    <row r="7" spans="1:10" x14ac:dyDescent="0.3">
      <c r="A7">
        <f>ROW()-1</f>
        <v>6</v>
      </c>
      <c r="B7" s="6" t="s">
        <v>18</v>
      </c>
      <c r="C7" s="10">
        <f ca="1">VLOOKUP(Tabela4[[#This Row],[Pracownik]],Pracownicy!C:M,11,FALSE)</f>
        <v>45</v>
      </c>
      <c r="D7" s="8" t="str">
        <f ca="1">IF(Tabela4[[#This Row],[Wiek]]&lt;25,"18-25",IF(Tabela4[[#This Row],[Wiek]]&lt;36,"25-35",IF(Tabela4[[#This Row],[Wiek]]&lt;46,"36-45",IF(Tabela4[[#This Row],[Wiek]]&lt;55,"46-55","55+"))))</f>
        <v>36-45</v>
      </c>
      <c r="E7" s="18" t="str">
        <f>VLOOKUP(Tabela4[[#This Row],[Pracownik]],Pracownicy!C:D,2,FALSE)</f>
        <v>pracownik produkcji</v>
      </c>
      <c r="F7" t="str">
        <f>VLOOKUP(Tabela4[[#This Row],[Stanowisko]],Stanowiska!A:B,2,FALSE)</f>
        <v>fizyczny</v>
      </c>
      <c r="G7" s="27">
        <f>VLOOKUP(Tabela4[[#This Row],[Pracownik]],Pracownicy!C:I,7,FALSE)</f>
        <v>4500</v>
      </c>
      <c r="H7" s="29" t="str">
        <f>VLOOKUP(Tabela4[[#This Row],[Pracownik]],Tabela1[[Pracownik]:[PESEL]],3,FALSE)</f>
        <v>78120344555</v>
      </c>
      <c r="I7" t="str">
        <f>IF(ISEVEN(Tabela4[[#This Row],[PESEL]]),"kobieta","mężczyzna")</f>
        <v>mężczyzna</v>
      </c>
      <c r="J7" t="str">
        <f ca="1">IF(Tabela4[[#This Row],[Płeć]]="kobieta",IF(Tabela4[[#This Row],[Wiek]]&gt;55,"NIE","TAK"),IF(Tabela4[[#This Row],[Wiek]]&gt;60,"NIE","TAK"))</f>
        <v>TAK</v>
      </c>
    </row>
    <row r="8" spans="1:10" x14ac:dyDescent="0.3">
      <c r="A8">
        <f>ROW()-1</f>
        <v>7</v>
      </c>
      <c r="B8" s="6" t="s">
        <v>58</v>
      </c>
      <c r="C8" s="10">
        <f ca="1">VLOOKUP(Tabela4[[#This Row],[Pracownik]],Pracownicy!C:M,11,FALSE)</f>
        <v>51</v>
      </c>
      <c r="D8" s="8" t="str">
        <f ca="1">IF(Tabela4[[#This Row],[Wiek]]&lt;25,"18-25",IF(Tabela4[[#This Row],[Wiek]]&lt;36,"25-35",IF(Tabela4[[#This Row],[Wiek]]&lt;46,"36-45",IF(Tabela4[[#This Row],[Wiek]]&lt;55,"46-55","55+"))))</f>
        <v>46-55</v>
      </c>
      <c r="E8" s="18" t="str">
        <f>VLOOKUP(Tabela4[[#This Row],[Pracownik]],Pracownicy!C:D,2,FALSE)</f>
        <v>mechanik</v>
      </c>
      <c r="F8" t="str">
        <f>VLOOKUP(Tabela4[[#This Row],[Stanowisko]],Stanowiska!A:B,2,FALSE)</f>
        <v>fizyczny</v>
      </c>
      <c r="G8" s="27">
        <f>VLOOKUP(Tabela4[[#This Row],[Pracownik]],Pracownicy!C:I,7,FALSE)</f>
        <v>5000</v>
      </c>
      <c r="H8" s="29">
        <f>VLOOKUP(Tabela4[[#This Row],[Pracownik]],Tabela1[[Pracownik]:[PESEL]],3,FALSE)</f>
        <v>72090188665</v>
      </c>
      <c r="I8" t="str">
        <f>IF(ISEVEN(Tabela4[[#This Row],[PESEL]]),"kobieta","mężczyzna")</f>
        <v>mężczyzna</v>
      </c>
      <c r="J8" t="str">
        <f ca="1">IF(Tabela4[[#This Row],[Płeć]]="kobieta",IF(Tabela4[[#This Row],[Wiek]]&gt;55,"NIE","TAK"),IF(Tabela4[[#This Row],[Wiek]]&gt;60,"NIE","TAK"))</f>
        <v>TAK</v>
      </c>
    </row>
    <row r="9" spans="1:10" x14ac:dyDescent="0.3">
      <c r="A9">
        <f>ROW()-1</f>
        <v>8</v>
      </c>
      <c r="B9" s="6" t="s">
        <v>65</v>
      </c>
      <c r="C9" s="10">
        <f ca="1">VLOOKUP(Tabela4[[#This Row],[Pracownik]],Pracownicy!C:M,11,FALSE)</f>
        <v>31</v>
      </c>
      <c r="D9" s="8" t="str">
        <f ca="1">IF(Tabela4[[#This Row],[Wiek]]&lt;25,"18-25",IF(Tabela4[[#This Row],[Wiek]]&lt;36,"25-35",IF(Tabela4[[#This Row],[Wiek]]&lt;46,"36-45",IF(Tabela4[[#This Row],[Wiek]]&lt;55,"46-55","55+"))))</f>
        <v>25-35</v>
      </c>
      <c r="E9" s="18" t="str">
        <f>VLOOKUP(Tabela4[[#This Row],[Pracownik]],Pracownicy!C:D,2,FALSE)</f>
        <v>laborant</v>
      </c>
      <c r="F9" t="str">
        <f>VLOOKUP(Tabela4[[#This Row],[Stanowisko]],Stanowiska!A:B,2,FALSE)</f>
        <v>umysłowy</v>
      </c>
      <c r="G9" s="27">
        <f>VLOOKUP(Tabela4[[#This Row],[Pracownik]],Pracownicy!C:I,7,FALSE)</f>
        <v>5500</v>
      </c>
      <c r="H9" s="29">
        <f>VLOOKUP(Tabela4[[#This Row],[Pracownik]],Tabela1[[Pracownik]:[PESEL]],3,FALSE)</f>
        <v>92060155663</v>
      </c>
      <c r="I9" t="str">
        <f>IF(ISEVEN(Tabela4[[#This Row],[PESEL]]),"kobieta","mężczyzna")</f>
        <v>mężczyzna</v>
      </c>
      <c r="J9" t="str">
        <f ca="1">IF(Tabela4[[#This Row],[Płeć]]="kobieta",IF(Tabela4[[#This Row],[Wiek]]&gt;55,"NIE","TAK"),IF(Tabela4[[#This Row],[Wiek]]&gt;60,"NIE","TAK"))</f>
        <v>TAK</v>
      </c>
    </row>
    <row r="10" spans="1:10" x14ac:dyDescent="0.3">
      <c r="A10">
        <f>ROW()-1</f>
        <v>9</v>
      </c>
      <c r="B10" s="6" t="s">
        <v>149</v>
      </c>
      <c r="C10" s="10">
        <f ca="1">VLOOKUP(Tabela4[[#This Row],[Pracownik]],Pracownicy!C:M,11,FALSE)</f>
        <v>45</v>
      </c>
      <c r="D10" s="8" t="str">
        <f ca="1">IF(Tabela4[[#This Row],[Wiek]]&lt;25,"18-25",IF(Tabela4[[#This Row],[Wiek]]&lt;36,"25-35",IF(Tabela4[[#This Row],[Wiek]]&lt;46,"36-45",IF(Tabela4[[#This Row],[Wiek]]&lt;55,"46-55","55+"))))</f>
        <v>36-45</v>
      </c>
      <c r="E10" s="18" t="str">
        <f>VLOOKUP(Tabela4[[#This Row],[Pracownik]],Pracownicy!C:D,2,FALSE)</f>
        <v>mechanik</v>
      </c>
      <c r="F10" t="str">
        <f>VLOOKUP(Tabela4[[#This Row],[Stanowisko]],Stanowiska!A:B,2,FALSE)</f>
        <v>fizyczny</v>
      </c>
      <c r="G10" s="27">
        <f>VLOOKUP(Tabela4[[#This Row],[Pracownik]],Pracownicy!C:I,7,FALSE)</f>
        <v>4900</v>
      </c>
      <c r="H10" s="29" t="str">
        <f>VLOOKUP(Tabela4[[#This Row],[Pracownik]],Tabela1[[Pracownik]:[PESEL]],3,FALSE)</f>
        <v>78050611225</v>
      </c>
      <c r="I10" t="str">
        <f>IF(ISEVEN(Tabela4[[#This Row],[PESEL]]),"kobieta","mężczyzna")</f>
        <v>mężczyzna</v>
      </c>
      <c r="J10" t="str">
        <f ca="1">IF(Tabela4[[#This Row],[Płeć]]="kobieta",IF(Tabela4[[#This Row],[Wiek]]&gt;55,"NIE","TAK"),IF(Tabela4[[#This Row],[Wiek]]&gt;60,"NIE","TAK"))</f>
        <v>TAK</v>
      </c>
    </row>
    <row r="11" spans="1:10" x14ac:dyDescent="0.3">
      <c r="A11">
        <f>ROW()-1</f>
        <v>10</v>
      </c>
      <c r="B11" s="6" t="s">
        <v>12</v>
      </c>
      <c r="C11" s="10">
        <f ca="1">VLOOKUP(Tabela4[[#This Row],[Pracownik]],Pracownicy!C:M,11,FALSE)</f>
        <v>35</v>
      </c>
      <c r="D11" s="8" t="str">
        <f ca="1">IF(Tabela4[[#This Row],[Wiek]]&lt;25,"18-25",IF(Tabela4[[#This Row],[Wiek]]&lt;36,"25-35",IF(Tabela4[[#This Row],[Wiek]]&lt;46,"36-45",IF(Tabela4[[#This Row],[Wiek]]&lt;55,"46-55","55+"))))</f>
        <v>25-35</v>
      </c>
      <c r="E11" s="18" t="str">
        <f>VLOOKUP(Tabela4[[#This Row],[Pracownik]],Pracownicy!C:D,2,FALSE)</f>
        <v>księgowy</v>
      </c>
      <c r="F11" t="str">
        <f>VLOOKUP(Tabela4[[#This Row],[Stanowisko]],Stanowiska!A:B,2,FALSE)</f>
        <v>umysłowy</v>
      </c>
      <c r="G11" s="27">
        <f>VLOOKUP(Tabela4[[#This Row],[Pracownik]],Pracownicy!C:I,7,FALSE)</f>
        <v>6000</v>
      </c>
      <c r="H11" s="29">
        <f>VLOOKUP(Tabela4[[#This Row],[Pracownik]],Tabela1[[Pracownik]:[PESEL]],3,FALSE)</f>
        <v>88111022336</v>
      </c>
      <c r="I11" t="str">
        <f>IF(ISEVEN(Tabela4[[#This Row],[PESEL]]),"kobieta","mężczyzna")</f>
        <v>kobieta</v>
      </c>
      <c r="J11" t="str">
        <f ca="1">IF(Tabela4[[#This Row],[Płeć]]="kobieta",IF(Tabela4[[#This Row],[Wiek]]&gt;55,"NIE","TAK"),IF(Tabela4[[#This Row],[Wiek]]&gt;60,"NIE","TAK"))</f>
        <v>TAK</v>
      </c>
    </row>
    <row r="12" spans="1:10" x14ac:dyDescent="0.3">
      <c r="A12">
        <f>ROW()-1</f>
        <v>11</v>
      </c>
      <c r="B12" s="6" t="s">
        <v>158</v>
      </c>
      <c r="C12" s="10">
        <f ca="1">VLOOKUP(Tabela4[[#This Row],[Pracownik]],Pracownicy!C:M,11,FALSE)</f>
        <v>56</v>
      </c>
      <c r="D12" s="41" t="str">
        <f ca="1">IF(Tabela4[[#This Row],[Wiek]]&lt;25,"18-25",IF(Tabela4[[#This Row],[Wiek]]&lt;36,"25-35",IF(Tabela4[[#This Row],[Wiek]]&lt;46,"36-45",IF(Tabela4[[#This Row],[Wiek]]&lt;55,"46-55","55+"))))</f>
        <v>55+</v>
      </c>
      <c r="E12" s="42" t="str">
        <f>VLOOKUP(Tabela4[[#This Row],[Pracownik]],Pracownicy!C:D,2,FALSE)</f>
        <v>pracownik produkcji</v>
      </c>
      <c r="F12" s="43" t="str">
        <f>VLOOKUP(Tabela4[[#This Row],[Stanowisko]],Stanowiska!A:B,2,FALSE)</f>
        <v>fizyczny</v>
      </c>
      <c r="G12" s="27">
        <f>VLOOKUP(Tabela4[[#This Row],[Pracownik]],Pracownicy!C:I,7,FALSE)</f>
        <v>4800</v>
      </c>
      <c r="H12" s="29" t="str">
        <f>VLOOKUP(Tabela4[[#This Row],[Pracownik]],Tabela1[[Pracownik]:[PESEL]],3,FALSE)</f>
        <v>67050122556</v>
      </c>
      <c r="I12" s="43" t="str">
        <f>IF(ISEVEN(Tabela4[[#This Row],[PESEL]]),"kobieta","mężczyzna")</f>
        <v>kobieta</v>
      </c>
      <c r="J12" s="43" t="str">
        <f ca="1">IF(Tabela4[[#This Row],[Płeć]]="kobieta",IF(Tabela4[[#This Row],[Wiek]]&gt;55,"NIE","TAK"),IF(Tabela4[[#This Row],[Wiek]]&gt;60,"NIE","TAK"))</f>
        <v>NIE</v>
      </c>
    </row>
    <row r="13" spans="1:10" x14ac:dyDescent="0.3">
      <c r="A13">
        <f>ROW()-1</f>
        <v>12</v>
      </c>
      <c r="B13" s="6" t="s">
        <v>45</v>
      </c>
      <c r="C13" s="10">
        <f ca="1">VLOOKUP(Tabela4[[#This Row],[Pracownik]],Pracownicy!C:M,11,FALSE)</f>
        <v>40</v>
      </c>
      <c r="D13" s="8" t="str">
        <f ca="1">IF(Tabela4[[#This Row],[Wiek]]&lt;25,"18-25",IF(Tabela4[[#This Row],[Wiek]]&lt;36,"25-35",IF(Tabela4[[#This Row],[Wiek]]&lt;46,"36-45",IF(Tabela4[[#This Row],[Wiek]]&lt;55,"46-55","55+"))))</f>
        <v>36-45</v>
      </c>
      <c r="E13" s="18" t="str">
        <f>VLOOKUP(Tabela4[[#This Row],[Pracownik]],Pracownicy!C:D,2,FALSE)</f>
        <v>laborant</v>
      </c>
      <c r="F13" t="str">
        <f>VLOOKUP(Tabela4[[#This Row],[Stanowisko]],Stanowiska!A:B,2,FALSE)</f>
        <v>umysłowy</v>
      </c>
      <c r="G13" s="27">
        <f>VLOOKUP(Tabela4[[#This Row],[Pracownik]],Pracownicy!C:I,7,FALSE)</f>
        <v>5500</v>
      </c>
      <c r="H13" s="29" t="str">
        <f>VLOOKUP(Tabela4[[#This Row],[Pracownik]],Tabela1[[Pracownik]:[PESEL]],3,FALSE)</f>
        <v>83120744557</v>
      </c>
      <c r="I13" t="str">
        <f>IF(ISEVEN(Tabela4[[#This Row],[PESEL]]),"kobieta","mężczyzna")</f>
        <v>mężczyzna</v>
      </c>
      <c r="J13" t="str">
        <f ca="1">IF(Tabela4[[#This Row],[Płeć]]="kobieta",IF(Tabela4[[#This Row],[Wiek]]&gt;55,"NIE","TAK"),IF(Tabela4[[#This Row],[Wiek]]&gt;60,"NIE","TAK"))</f>
        <v>TAK</v>
      </c>
    </row>
    <row r="14" spans="1:10" x14ac:dyDescent="0.3">
      <c r="A14">
        <f>ROW()-1</f>
        <v>13</v>
      </c>
      <c r="B14" s="6" t="s">
        <v>59</v>
      </c>
      <c r="C14" s="10">
        <f ca="1">VLOOKUP(Tabela4[[#This Row],[Pracownik]],Pracownicy!C:M,11,FALSE)</f>
        <v>31</v>
      </c>
      <c r="D14" s="8" t="str">
        <f ca="1">IF(Tabela4[[#This Row],[Wiek]]&lt;25,"18-25",IF(Tabela4[[#This Row],[Wiek]]&lt;36,"25-35",IF(Tabela4[[#This Row],[Wiek]]&lt;46,"36-45",IF(Tabela4[[#This Row],[Wiek]]&lt;55,"46-55","55+"))))</f>
        <v>25-35</v>
      </c>
      <c r="E14" s="18" t="str">
        <f>VLOOKUP(Tabela4[[#This Row],[Pracownik]],Pracownicy!C:D,2,FALSE)</f>
        <v>pracownik produkcji</v>
      </c>
      <c r="F14" t="str">
        <f>VLOOKUP(Tabela4[[#This Row],[Stanowisko]],Stanowiska!A:B,2,FALSE)</f>
        <v>fizyczny</v>
      </c>
      <c r="G14" s="27">
        <f>VLOOKUP(Tabela4[[#This Row],[Pracownik]],Pracownicy!C:I,7,FALSE)</f>
        <v>4700</v>
      </c>
      <c r="H14" s="29" t="str">
        <f>VLOOKUP(Tabela4[[#This Row],[Pracownik]],Tabela1[[Pracownik]:[PESEL]],3,FALSE)</f>
        <v>93020944558</v>
      </c>
      <c r="I14" t="str">
        <f>IF(ISEVEN(Tabela4[[#This Row],[PESEL]]),"kobieta","mężczyzna")</f>
        <v>kobieta</v>
      </c>
      <c r="J14" t="str">
        <f ca="1">IF(Tabela4[[#This Row],[Płeć]]="kobieta",IF(Tabela4[[#This Row],[Wiek]]&gt;55,"NIE","TAK"),IF(Tabela4[[#This Row],[Wiek]]&gt;60,"NIE","TAK"))</f>
        <v>TAK</v>
      </c>
    </row>
    <row r="15" spans="1:10" x14ac:dyDescent="0.3">
      <c r="A15">
        <f>ROW()-1</f>
        <v>14</v>
      </c>
      <c r="B15" s="6" t="s">
        <v>98</v>
      </c>
      <c r="C15" s="10">
        <f ca="1">VLOOKUP(Tabela4[[#This Row],[Pracownik]],Pracownicy!C:M,11,FALSE)</f>
        <v>51</v>
      </c>
      <c r="D15" s="8" t="str">
        <f ca="1">IF(Tabela4[[#This Row],[Wiek]]&lt;25,"18-25",IF(Tabela4[[#This Row],[Wiek]]&lt;36,"25-35",IF(Tabela4[[#This Row],[Wiek]]&lt;46,"36-45",IF(Tabela4[[#This Row],[Wiek]]&lt;55,"46-55","55+"))))</f>
        <v>46-55</v>
      </c>
      <c r="E15" s="18" t="str">
        <f>VLOOKUP(Tabela4[[#This Row],[Pracownik]],Pracownicy!C:D,2,FALSE)</f>
        <v>kasjer</v>
      </c>
      <c r="F15" t="str">
        <f>VLOOKUP(Tabela4[[#This Row],[Stanowisko]],Stanowiska!A:B,2,FALSE)</f>
        <v>umysłowy</v>
      </c>
      <c r="G15" s="27">
        <f>VLOOKUP(Tabela4[[#This Row],[Pracownik]],Pracownicy!C:I,7,FALSE)</f>
        <v>5000</v>
      </c>
      <c r="H15" s="29" t="str">
        <f>VLOOKUP(Tabela4[[#This Row],[Pracownik]],Tabela1[[Pracownik]:[PESEL]],3,FALSE)</f>
        <v>72050422356</v>
      </c>
      <c r="I15" t="str">
        <f>IF(ISEVEN(Tabela4[[#This Row],[PESEL]]),"kobieta","mężczyzna")</f>
        <v>kobieta</v>
      </c>
      <c r="J15" t="str">
        <f ca="1">IF(Tabela4[[#This Row],[Płeć]]="kobieta",IF(Tabela4[[#This Row],[Wiek]]&gt;55,"NIE","TAK"),IF(Tabela4[[#This Row],[Wiek]]&gt;60,"NIE","TAK"))</f>
        <v>TAK</v>
      </c>
    </row>
    <row r="16" spans="1:10" x14ac:dyDescent="0.3">
      <c r="A16">
        <f>ROW()-1</f>
        <v>15</v>
      </c>
      <c r="B16" s="6" t="s">
        <v>16</v>
      </c>
      <c r="C16" s="10">
        <f ca="1">VLOOKUP(Tabela4[[#This Row],[Pracownik]],Pracownicy!C:M,11,FALSE)</f>
        <v>29</v>
      </c>
      <c r="D16" s="8" t="str">
        <f ca="1">IF(Tabela4[[#This Row],[Wiek]]&lt;25,"18-25",IF(Tabela4[[#This Row],[Wiek]]&lt;36,"25-35",IF(Tabela4[[#This Row],[Wiek]]&lt;46,"36-45",IF(Tabela4[[#This Row],[Wiek]]&lt;55,"46-55","55+"))))</f>
        <v>25-35</v>
      </c>
      <c r="E16" s="18" t="str">
        <f>VLOOKUP(Tabela4[[#This Row],[Pracownik]],Pracownicy!C:D,2,FALSE)</f>
        <v>mechanik</v>
      </c>
      <c r="F16" t="str">
        <f>VLOOKUP(Tabela4[[#This Row],[Stanowisko]],Stanowiska!A:B,2,FALSE)</f>
        <v>fizyczny</v>
      </c>
      <c r="G16" s="27">
        <f>VLOOKUP(Tabela4[[#This Row],[Pracownik]],Pracownicy!C:I,7,FALSE)</f>
        <v>5000</v>
      </c>
      <c r="H16" s="29">
        <f>VLOOKUP(Tabela4[[#This Row],[Pracownik]],Tabela1[[Pracownik]:[PESEL]],3,FALSE)</f>
        <v>94050277551</v>
      </c>
      <c r="I16" t="str">
        <f>IF(ISEVEN(Tabela4[[#This Row],[PESEL]]),"kobieta","mężczyzna")</f>
        <v>mężczyzna</v>
      </c>
      <c r="J16" t="str">
        <f ca="1">IF(Tabela4[[#This Row],[Płeć]]="kobieta",IF(Tabela4[[#This Row],[Wiek]]&gt;55,"NIE","TAK"),IF(Tabela4[[#This Row],[Wiek]]&gt;60,"NIE","TAK"))</f>
        <v>TAK</v>
      </c>
    </row>
    <row r="17" spans="1:10" x14ac:dyDescent="0.3">
      <c r="A17">
        <f>ROW()-1</f>
        <v>16</v>
      </c>
      <c r="B17" s="6" t="s">
        <v>50</v>
      </c>
      <c r="C17" s="10">
        <f ca="1">VLOOKUP(Tabela4[[#This Row],[Pracownik]],Pracownicy!C:M,11,FALSE)</f>
        <v>62</v>
      </c>
      <c r="D17" s="8" t="str">
        <f ca="1">IF(Tabela4[[#This Row],[Wiek]]&lt;25,"18-25",IF(Tabela4[[#This Row],[Wiek]]&lt;36,"25-35",IF(Tabela4[[#This Row],[Wiek]]&lt;46,"36-45",IF(Tabela4[[#This Row],[Wiek]]&lt;55,"46-55","55+"))))</f>
        <v>55+</v>
      </c>
      <c r="E17" s="18" t="str">
        <f>VLOOKUP(Tabela4[[#This Row],[Pracownik]],Pracownicy!C:D,2,FALSE)</f>
        <v>pracownik produkcji</v>
      </c>
      <c r="F17" t="str">
        <f>VLOOKUP(Tabela4[[#This Row],[Stanowisko]],Stanowiska!A:B,2,FALSE)</f>
        <v>fizyczny</v>
      </c>
      <c r="G17" s="27">
        <f>VLOOKUP(Tabela4[[#This Row],[Pracownik]],Pracownicy!C:I,7,FALSE)</f>
        <v>4800</v>
      </c>
      <c r="H17" s="29">
        <f>VLOOKUP(Tabela4[[#This Row],[Pracownik]],Tabela1[[Pracownik]:[PESEL]],3,FALSE)</f>
        <v>62010122556</v>
      </c>
      <c r="I17" t="str">
        <f>IF(ISEVEN(Tabela4[[#This Row],[PESEL]]),"kobieta","mężczyzna")</f>
        <v>kobieta</v>
      </c>
      <c r="J17" t="str">
        <f ca="1">IF(Tabela4[[#This Row],[Płeć]]="kobieta",IF(Tabela4[[#This Row],[Wiek]]&gt;55,"NIE","TAK"),IF(Tabela4[[#This Row],[Wiek]]&gt;60,"NIE","TAK"))</f>
        <v>NIE</v>
      </c>
    </row>
    <row r="18" spans="1:10" x14ac:dyDescent="0.3">
      <c r="A18">
        <f>ROW()-1</f>
        <v>17</v>
      </c>
      <c r="B18" s="6" t="s">
        <v>68</v>
      </c>
      <c r="C18" s="10">
        <f ca="1">VLOOKUP(Tabela4[[#This Row],[Pracownik]],Pracownicy!C:M,11,FALSE)</f>
        <v>28</v>
      </c>
      <c r="D18" s="8" t="str">
        <f ca="1">IF(Tabela4[[#This Row],[Wiek]]&lt;25,"18-25",IF(Tabela4[[#This Row],[Wiek]]&lt;36,"25-35",IF(Tabela4[[#This Row],[Wiek]]&lt;46,"36-45",IF(Tabela4[[#This Row],[Wiek]]&lt;55,"46-55","55+"))))</f>
        <v>25-35</v>
      </c>
      <c r="E18" s="18" t="str">
        <f>VLOOKUP(Tabela4[[#This Row],[Pracownik]],Pracownicy!C:D,2,FALSE)</f>
        <v>pracownik produkcji</v>
      </c>
      <c r="F18" t="str">
        <f>VLOOKUP(Tabela4[[#This Row],[Stanowisko]],Stanowiska!A:B,2,FALSE)</f>
        <v>fizyczny</v>
      </c>
      <c r="G18" s="27">
        <f>VLOOKUP(Tabela4[[#This Row],[Pracownik]],Pracownicy!C:I,7,FALSE)</f>
        <v>4700</v>
      </c>
      <c r="H18" s="29">
        <f>VLOOKUP(Tabela4[[#This Row],[Pracownik]],Tabela1[[Pracownik]:[PESEL]],3,FALSE)</f>
        <v>95080611223</v>
      </c>
      <c r="I18" t="str">
        <f>IF(ISEVEN(Tabela4[[#This Row],[PESEL]]),"kobieta","mężczyzna")</f>
        <v>mężczyzna</v>
      </c>
      <c r="J18" t="str">
        <f ca="1">IF(Tabela4[[#This Row],[Płeć]]="kobieta",IF(Tabela4[[#This Row],[Wiek]]&gt;55,"NIE","TAK"),IF(Tabela4[[#This Row],[Wiek]]&gt;60,"NIE","TAK"))</f>
        <v>TAK</v>
      </c>
    </row>
    <row r="19" spans="1:10" x14ac:dyDescent="0.3">
      <c r="A19">
        <f>ROW()-1</f>
        <v>18</v>
      </c>
      <c r="B19" s="6" t="s">
        <v>10</v>
      </c>
      <c r="C19" s="10">
        <f ca="1">VLOOKUP(Tabela4[[#This Row],[Pracownik]],Pracownicy!C:M,11,FALSE)</f>
        <v>57</v>
      </c>
      <c r="D19" s="8" t="str">
        <f ca="1">IF(Tabela4[[#This Row],[Wiek]]&lt;25,"18-25",IF(Tabela4[[#This Row],[Wiek]]&lt;36,"25-35",IF(Tabela4[[#This Row],[Wiek]]&lt;46,"36-45",IF(Tabela4[[#This Row],[Wiek]]&lt;55,"46-55","55+"))))</f>
        <v>55+</v>
      </c>
      <c r="E19" s="18" t="str">
        <f>VLOOKUP(Tabela4[[#This Row],[Pracownik]],Pracownicy!C:D,2,FALSE)</f>
        <v>prezes</v>
      </c>
      <c r="F19" t="str">
        <f>VLOOKUP(Tabela4[[#This Row],[Stanowisko]],Stanowiska!A:B,2,FALSE)</f>
        <v>umysłowy</v>
      </c>
      <c r="G19" s="27">
        <f>VLOOKUP(Tabela4[[#This Row],[Pracownik]],Pracownicy!C:I,7,FALSE)</f>
        <v>15000</v>
      </c>
      <c r="H19" s="29" t="str">
        <f>VLOOKUP(Tabela4[[#This Row],[Pracownik]],Tabela1[[Pracownik]:[PESEL]],3,FALSE)</f>
        <v>66052277997</v>
      </c>
      <c r="I19" t="str">
        <f>IF(ISEVEN(Tabela4[[#This Row],[PESEL]]),"kobieta","mężczyzna")</f>
        <v>mężczyzna</v>
      </c>
      <c r="J19" t="str">
        <f ca="1">IF(Tabela4[[#This Row],[Płeć]]="kobieta",IF(Tabela4[[#This Row],[Wiek]]&gt;55,"NIE","TAK"),IF(Tabela4[[#This Row],[Wiek]]&gt;60,"NIE","TAK"))</f>
        <v>TAK</v>
      </c>
    </row>
    <row r="20" spans="1:10" x14ac:dyDescent="0.3">
      <c r="A20">
        <f>ROW()-1</f>
        <v>19</v>
      </c>
      <c r="B20" s="6" t="s">
        <v>19</v>
      </c>
      <c r="C20" s="10">
        <f ca="1">VLOOKUP(Tabela4[[#This Row],[Pracownik]],Pracownicy!C:M,11,FALSE)</f>
        <v>38</v>
      </c>
      <c r="D20" s="8" t="str">
        <f ca="1">IF(Tabela4[[#This Row],[Wiek]]&lt;25,"18-25",IF(Tabela4[[#This Row],[Wiek]]&lt;36,"25-35",IF(Tabela4[[#This Row],[Wiek]]&lt;46,"36-45",IF(Tabela4[[#This Row],[Wiek]]&lt;55,"46-55","55+"))))</f>
        <v>36-45</v>
      </c>
      <c r="E20" s="18" t="str">
        <f>VLOOKUP(Tabela4[[#This Row],[Pracownik]],Pracownicy!C:D,2,FALSE)</f>
        <v>kierownik produkcji</v>
      </c>
      <c r="F20" t="str">
        <f>VLOOKUP(Tabela4[[#This Row],[Stanowisko]],Stanowiska!A:B,2,FALSE)</f>
        <v>umysłowy</v>
      </c>
      <c r="G20" s="27">
        <f>VLOOKUP(Tabela4[[#This Row],[Pracownik]],Pracownicy!C:I,7,FALSE)</f>
        <v>7000</v>
      </c>
      <c r="H20" s="29">
        <f>VLOOKUP(Tabela4[[#This Row],[Pracownik]],Tabela1[[Pracownik]:[PESEL]],3,FALSE)</f>
        <v>86041122335</v>
      </c>
      <c r="I20" t="str">
        <f>IF(ISEVEN(Tabela4[[#This Row],[PESEL]]),"kobieta","mężczyzna")</f>
        <v>mężczyzna</v>
      </c>
      <c r="J20" t="str">
        <f ca="1">IF(Tabela4[[#This Row],[Płeć]]="kobieta",IF(Tabela4[[#This Row],[Wiek]]&gt;55,"NIE","TAK"),IF(Tabela4[[#This Row],[Wiek]]&gt;60,"NIE","TAK"))</f>
        <v>TAK</v>
      </c>
    </row>
    <row r="21" spans="1:10" x14ac:dyDescent="0.3">
      <c r="A21">
        <f>ROW()-1</f>
        <v>20</v>
      </c>
      <c r="B21" s="6" t="s">
        <v>103</v>
      </c>
      <c r="C21" s="10">
        <f ca="1">VLOOKUP(Tabela4[[#This Row],[Pracownik]],Pracownicy!C:M,11,FALSE)</f>
        <v>38</v>
      </c>
      <c r="D21" s="8" t="str">
        <f ca="1">IF(Tabela4[[#This Row],[Wiek]]&lt;25,"18-25",IF(Tabela4[[#This Row],[Wiek]]&lt;36,"25-35",IF(Tabela4[[#This Row],[Wiek]]&lt;46,"36-45",IF(Tabela4[[#This Row],[Wiek]]&lt;55,"46-55","55+"))))</f>
        <v>36-45</v>
      </c>
      <c r="E21" s="18" t="str">
        <f>VLOOKUP(Tabela4[[#This Row],[Pracownik]],Pracownicy!C:D,2,FALSE)</f>
        <v>pracownik produkcji</v>
      </c>
      <c r="F21" t="str">
        <f>VLOOKUP(Tabela4[[#This Row],[Stanowisko]],Stanowiska!A:B,2,FALSE)</f>
        <v>fizyczny</v>
      </c>
      <c r="G21" s="27">
        <f>VLOOKUP(Tabela4[[#This Row],[Pracownik]],Pracownicy!C:I,7,FALSE)</f>
        <v>4800</v>
      </c>
      <c r="H21" s="29" t="str">
        <f>VLOOKUP(Tabela4[[#This Row],[Pracownik]],Tabela1[[Pracownik]:[PESEL]],3,FALSE)</f>
        <v>85070122553</v>
      </c>
      <c r="I21" t="str">
        <f>IF(ISEVEN(Tabela4[[#This Row],[PESEL]]),"kobieta","mężczyzna")</f>
        <v>mężczyzna</v>
      </c>
      <c r="J21" t="str">
        <f ca="1">IF(Tabela4[[#This Row],[Płeć]]="kobieta",IF(Tabela4[[#This Row],[Wiek]]&gt;55,"NIE","TAK"),IF(Tabela4[[#This Row],[Wiek]]&gt;60,"NIE","TAK"))</f>
        <v>TAK</v>
      </c>
    </row>
    <row r="22" spans="1:10" x14ac:dyDescent="0.3">
      <c r="A22">
        <f>ROW()-1</f>
        <v>21</v>
      </c>
      <c r="B22" s="6" t="s">
        <v>74</v>
      </c>
      <c r="C22" s="10">
        <f ca="1">VLOOKUP(Tabela4[[#This Row],[Pracownik]],Pracownicy!C:M,11,FALSE)</f>
        <v>27</v>
      </c>
      <c r="D22" s="8" t="str">
        <f ca="1">IF(Tabela4[[#This Row],[Wiek]]&lt;25,"18-25",IF(Tabela4[[#This Row],[Wiek]]&lt;36,"25-35",IF(Tabela4[[#This Row],[Wiek]]&lt;46,"36-45",IF(Tabela4[[#This Row],[Wiek]]&lt;55,"46-55","55+"))))</f>
        <v>25-35</v>
      </c>
      <c r="E22" s="18" t="str">
        <f>VLOOKUP(Tabela4[[#This Row],[Pracownik]],Pracownicy!C:D,2,FALSE)</f>
        <v>magazynier</v>
      </c>
      <c r="F22" t="str">
        <f>VLOOKUP(Tabela4[[#This Row],[Stanowisko]],Stanowiska!A:B,2,FALSE)</f>
        <v>fizyczny</v>
      </c>
      <c r="G22" s="27">
        <f>VLOOKUP(Tabela4[[#This Row],[Pracownik]],Pracownicy!C:I,7,FALSE)</f>
        <v>4800</v>
      </c>
      <c r="H22" s="29" t="str">
        <f>VLOOKUP(Tabela4[[#This Row],[Pracownik]],Tabela1[[Pracownik]:[PESEL]],3,FALSE)</f>
        <v>96100844554</v>
      </c>
      <c r="I22" t="str">
        <f>IF(ISEVEN(Tabela4[[#This Row],[PESEL]]),"kobieta","mężczyzna")</f>
        <v>kobieta</v>
      </c>
      <c r="J22" t="str">
        <f ca="1">IF(Tabela4[[#This Row],[Płeć]]="kobieta",IF(Tabela4[[#This Row],[Wiek]]&gt;55,"NIE","TAK"),IF(Tabela4[[#This Row],[Wiek]]&gt;60,"NIE","TAK"))</f>
        <v>TAK</v>
      </c>
    </row>
    <row r="23" spans="1:10" x14ac:dyDescent="0.3">
      <c r="A23">
        <f>ROW()-1</f>
        <v>22</v>
      </c>
      <c r="B23" s="6" t="s">
        <v>79</v>
      </c>
      <c r="C23" s="10">
        <f ca="1">VLOOKUP(Tabela4[[#This Row],[Pracownik]],Pracownicy!C:M,11,FALSE)</f>
        <v>21</v>
      </c>
      <c r="D23" s="8" t="str">
        <f ca="1">IF(Tabela4[[#This Row],[Wiek]]&lt;25,"18-25",IF(Tabela4[[#This Row],[Wiek]]&lt;36,"25-35",IF(Tabela4[[#This Row],[Wiek]]&lt;46,"36-45",IF(Tabela4[[#This Row],[Wiek]]&lt;55,"46-55","55+"))))</f>
        <v>18-25</v>
      </c>
      <c r="E23" s="18" t="str">
        <f>VLOOKUP(Tabela4[[#This Row],[Pracownik]],Pracownicy!C:D,2,FALSE)</f>
        <v>pracownik produkcji</v>
      </c>
      <c r="F23" t="str">
        <f>VLOOKUP(Tabela4[[#This Row],[Stanowisko]],Stanowiska!A:B,2,FALSE)</f>
        <v>fizyczny</v>
      </c>
      <c r="G23" s="27">
        <f>VLOOKUP(Tabela4[[#This Row],[Pracownik]],Pracownicy!C:I,7,FALSE)</f>
        <v>4800</v>
      </c>
      <c r="H23" s="29" t="str">
        <f>VLOOKUP(Tabela4[[#This Row],[Pracownik]],Tabela1[[Pracownik]:[PESEL]],3,FALSE)</f>
        <v>02250155668</v>
      </c>
      <c r="I23" t="str">
        <f>IF(ISEVEN(Tabela4[[#This Row],[PESEL]]),"kobieta","mężczyzna")</f>
        <v>kobieta</v>
      </c>
      <c r="J23" t="str">
        <f ca="1">IF(Tabela4[[#This Row],[Płeć]]="kobieta",IF(Tabela4[[#This Row],[Wiek]]&gt;55,"NIE","TAK"),IF(Tabela4[[#This Row],[Wiek]]&gt;60,"NIE","TAK"))</f>
        <v>TAK</v>
      </c>
    </row>
    <row r="24" spans="1:10" x14ac:dyDescent="0.3">
      <c r="A24">
        <f>ROW()-1</f>
        <v>23</v>
      </c>
      <c r="B24" s="6" t="s">
        <v>73</v>
      </c>
      <c r="C24" s="10">
        <f ca="1">VLOOKUP(Tabela4[[#This Row],[Pracownik]],Pracownicy!C:M,11,FALSE)</f>
        <v>38</v>
      </c>
      <c r="D24" s="8" t="str">
        <f ca="1">IF(Tabela4[[#This Row],[Wiek]]&lt;25,"18-25",IF(Tabela4[[#This Row],[Wiek]]&lt;36,"25-35",IF(Tabela4[[#This Row],[Wiek]]&lt;46,"36-45",IF(Tabela4[[#This Row],[Wiek]]&lt;55,"46-55","55+"))))</f>
        <v>36-45</v>
      </c>
      <c r="E24" s="18" t="str">
        <f>VLOOKUP(Tabela4[[#This Row],[Pracownik]],Pracownicy!C:D,2,FALSE)</f>
        <v>mechanik</v>
      </c>
      <c r="F24" t="str">
        <f>VLOOKUP(Tabela4[[#This Row],[Stanowisko]],Stanowiska!A:B,2,FALSE)</f>
        <v>fizyczny</v>
      </c>
      <c r="G24" s="27">
        <f>VLOOKUP(Tabela4[[#This Row],[Pracownik]],Pracownicy!C:I,7,FALSE)</f>
        <v>4800</v>
      </c>
      <c r="H24" s="29">
        <f>VLOOKUP(Tabela4[[#This Row],[Pracownik]],Tabela1[[Pracownik]:[PESEL]],3,FALSE)</f>
        <v>85110488553</v>
      </c>
      <c r="I24" t="str">
        <f>IF(ISEVEN(Tabela4[[#This Row],[PESEL]]),"kobieta","mężczyzna")</f>
        <v>mężczyzna</v>
      </c>
      <c r="J24" t="str">
        <f ca="1">IF(Tabela4[[#This Row],[Płeć]]="kobieta",IF(Tabela4[[#This Row],[Wiek]]&gt;55,"NIE","TAK"),IF(Tabela4[[#This Row],[Wiek]]&gt;60,"NIE","TAK"))</f>
        <v>TAK</v>
      </c>
    </row>
    <row r="25" spans="1:10" x14ac:dyDescent="0.3">
      <c r="A25">
        <f>ROW()-1</f>
        <v>24</v>
      </c>
      <c r="B25" s="6" t="s">
        <v>60</v>
      </c>
      <c r="C25" s="10">
        <f ca="1">VLOOKUP(Tabela4[[#This Row],[Pracownik]],Pracownicy!C:M,11,FALSE)</f>
        <v>55</v>
      </c>
      <c r="D25" s="8" t="str">
        <f ca="1">IF(Tabela4[[#This Row],[Wiek]]&lt;25,"18-25",IF(Tabela4[[#This Row],[Wiek]]&lt;36,"25-35",IF(Tabela4[[#This Row],[Wiek]]&lt;46,"36-45",IF(Tabela4[[#This Row],[Wiek]]&lt;55,"46-55","55+"))))</f>
        <v>55+</v>
      </c>
      <c r="E25" s="18" t="str">
        <f>VLOOKUP(Tabela4[[#This Row],[Pracownik]],Pracownicy!C:D,2,FALSE)</f>
        <v>specjalista ds. kadr</v>
      </c>
      <c r="F25" t="str">
        <f>VLOOKUP(Tabela4[[#This Row],[Stanowisko]],Stanowiska!A:B,2,FALSE)</f>
        <v>umysłowy</v>
      </c>
      <c r="G25" s="27">
        <f>VLOOKUP(Tabela4[[#This Row],[Pracownik]],Pracownicy!C:I,7,FALSE)</f>
        <v>5800</v>
      </c>
      <c r="H25" s="29">
        <f>VLOOKUP(Tabela4[[#This Row],[Pracownik]],Tabela1[[Pracownik]:[PESEL]],3,FALSE)</f>
        <v>68072566994</v>
      </c>
      <c r="I25" t="str">
        <f>IF(ISEVEN(Tabela4[[#This Row],[PESEL]]),"kobieta","mężczyzna")</f>
        <v>kobieta</v>
      </c>
      <c r="J25" t="str">
        <f ca="1">IF(Tabela4[[#This Row],[Płeć]]="kobieta",IF(Tabela4[[#This Row],[Wiek]]&gt;55,"NIE","TAK"),IF(Tabela4[[#This Row],[Wiek]]&gt;60,"NIE","TAK"))</f>
        <v>TAK</v>
      </c>
    </row>
    <row r="26" spans="1:10" x14ac:dyDescent="0.3">
      <c r="A26">
        <f>ROW()-1</f>
        <v>25</v>
      </c>
      <c r="B26" s="6" t="s">
        <v>95</v>
      </c>
      <c r="C26" s="10">
        <f ca="1">VLOOKUP(Tabela4[[#This Row],[Pracownik]],Pracownicy!C:M,11,FALSE)</f>
        <v>38</v>
      </c>
      <c r="D26" s="8" t="str">
        <f ca="1">IF(Tabela4[[#This Row],[Wiek]]&lt;25,"18-25",IF(Tabela4[[#This Row],[Wiek]]&lt;36,"25-35",IF(Tabela4[[#This Row],[Wiek]]&lt;46,"36-45",IF(Tabela4[[#This Row],[Wiek]]&lt;55,"46-55","55+"))))</f>
        <v>36-45</v>
      </c>
      <c r="E26" s="18" t="str">
        <f>VLOOKUP(Tabela4[[#This Row],[Pracownik]],Pracownicy!C:D,2,FALSE)</f>
        <v>pracownik produkcji</v>
      </c>
      <c r="F26" t="str">
        <f>VLOOKUP(Tabela4[[#This Row],[Stanowisko]],Stanowiska!A:B,2,FALSE)</f>
        <v>fizyczny</v>
      </c>
      <c r="G26" s="27">
        <f>VLOOKUP(Tabela4[[#This Row],[Pracownik]],Pracownicy!C:I,7,FALSE)</f>
        <v>4700</v>
      </c>
      <c r="H26" s="29" t="str">
        <f>VLOOKUP(Tabela4[[#This Row],[Pracownik]],Tabela1[[Pracownik]:[PESEL]],3,FALSE)</f>
        <v>85091455663</v>
      </c>
      <c r="I26" t="str">
        <f>IF(ISEVEN(Tabela4[[#This Row],[PESEL]]),"kobieta","mężczyzna")</f>
        <v>mężczyzna</v>
      </c>
      <c r="J26" t="str">
        <f ca="1">IF(Tabela4[[#This Row],[Płeć]]="kobieta",IF(Tabela4[[#This Row],[Wiek]]&gt;55,"NIE","TAK"),IF(Tabela4[[#This Row],[Wiek]]&gt;60,"NIE","TAK"))</f>
        <v>TAK</v>
      </c>
    </row>
    <row r="27" spans="1:10" x14ac:dyDescent="0.3">
      <c r="A27">
        <f>ROW()-1</f>
        <v>26</v>
      </c>
      <c r="B27" s="6" t="s">
        <v>64</v>
      </c>
      <c r="C27" s="10">
        <f ca="1">VLOOKUP(Tabela4[[#This Row],[Pracownik]],Pracownicy!C:M,11,FALSE)</f>
        <v>29</v>
      </c>
      <c r="D27" s="8" t="str">
        <f ca="1">IF(Tabela4[[#This Row],[Wiek]]&lt;25,"18-25",IF(Tabela4[[#This Row],[Wiek]]&lt;36,"25-35",IF(Tabela4[[#This Row],[Wiek]]&lt;46,"36-45",IF(Tabela4[[#This Row],[Wiek]]&lt;55,"46-55","55+"))))</f>
        <v>25-35</v>
      </c>
      <c r="E27" s="18" t="str">
        <f>VLOOKUP(Tabela4[[#This Row],[Pracownik]],Pracownicy!C:D,2,FALSE)</f>
        <v>magazynier</v>
      </c>
      <c r="F27" t="str">
        <f>VLOOKUP(Tabela4[[#This Row],[Stanowisko]],Stanowiska!A:B,2,FALSE)</f>
        <v>fizyczny</v>
      </c>
      <c r="G27" s="27">
        <f>VLOOKUP(Tabela4[[#This Row],[Pracownik]],Pracownicy!C:I,7,FALSE)</f>
        <v>4900</v>
      </c>
      <c r="H27" s="29" t="str">
        <f>VLOOKUP(Tabela4[[#This Row],[Pracownik]],Tabela1[[Pracownik]:[PESEL]],3,FALSE)</f>
        <v>94050688553</v>
      </c>
      <c r="I27" t="str">
        <f>IF(ISEVEN(Tabela4[[#This Row],[PESEL]]),"kobieta","mężczyzna")</f>
        <v>mężczyzna</v>
      </c>
      <c r="J27" t="str">
        <f ca="1">IF(Tabela4[[#This Row],[Płeć]]="kobieta",IF(Tabela4[[#This Row],[Wiek]]&gt;55,"NIE","TAK"),IF(Tabela4[[#This Row],[Wiek]]&gt;60,"NIE","TAK"))</f>
        <v>TAK</v>
      </c>
    </row>
    <row r="28" spans="1:10" x14ac:dyDescent="0.3">
      <c r="A28">
        <f>ROW()-1</f>
        <v>27</v>
      </c>
      <c r="B28" s="6" t="s">
        <v>62</v>
      </c>
      <c r="C28" s="10">
        <f ca="1">VLOOKUP(Tabela4[[#This Row],[Pracownik]],Pracownicy!C:M,11,FALSE)</f>
        <v>45</v>
      </c>
      <c r="D28" s="8" t="str">
        <f ca="1">IF(Tabela4[[#This Row],[Wiek]]&lt;25,"18-25",IF(Tabela4[[#This Row],[Wiek]]&lt;36,"25-35",IF(Tabela4[[#This Row],[Wiek]]&lt;46,"36-45",IF(Tabela4[[#This Row],[Wiek]]&lt;55,"46-55","55+"))))</f>
        <v>36-45</v>
      </c>
      <c r="E28" s="18" t="str">
        <f>VLOOKUP(Tabela4[[#This Row],[Pracownik]],Pracownicy!C:D,2,FALSE)</f>
        <v>kierownik handlu</v>
      </c>
      <c r="F28" t="str">
        <f>VLOOKUP(Tabela4[[#This Row],[Stanowisko]],Stanowiska!A:B,2,FALSE)</f>
        <v>umysłowy</v>
      </c>
      <c r="G28" s="27">
        <f>VLOOKUP(Tabela4[[#This Row],[Pracownik]],Pracownicy!C:I,7,FALSE)</f>
        <v>7000</v>
      </c>
      <c r="H28" s="29">
        <f>VLOOKUP(Tabela4[[#This Row],[Pracownik]],Tabela1[[Pracownik]:[PESEL]],3,FALSE)</f>
        <v>78120533557</v>
      </c>
      <c r="I28" t="str">
        <f>IF(ISEVEN(Tabela4[[#This Row],[PESEL]]),"kobieta","mężczyzna")</f>
        <v>mężczyzna</v>
      </c>
      <c r="J28" t="str">
        <f ca="1">IF(Tabela4[[#This Row],[Płeć]]="kobieta",IF(Tabela4[[#This Row],[Wiek]]&gt;55,"NIE","TAK"),IF(Tabela4[[#This Row],[Wiek]]&gt;60,"NIE","TAK"))</f>
        <v>TAK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3C87F-2500-4B9B-92AB-73FE3A3500DD}">
  <sheetPr codeName="Arkusz6"/>
  <dimension ref="A1:G36"/>
  <sheetViews>
    <sheetView workbookViewId="0">
      <selection activeCell="D18" sqref="D18"/>
    </sheetView>
  </sheetViews>
  <sheetFormatPr defaultRowHeight="14.4" x14ac:dyDescent="0.3"/>
  <cols>
    <col min="1" max="1" width="22.6640625" customWidth="1"/>
    <col min="2" max="2" width="12.109375" bestFit="1" customWidth="1"/>
    <col min="5" max="5" width="7.5546875" style="6" customWidth="1"/>
    <col min="6" max="6" width="9.109375" style="6"/>
    <col min="7" max="7" width="7.88671875" style="6" customWidth="1"/>
  </cols>
  <sheetData>
    <row r="1" spans="1:7" s="8" customFormat="1" x14ac:dyDescent="0.3">
      <c r="A1" s="8" t="s">
        <v>2</v>
      </c>
      <c r="B1" s="8" t="s">
        <v>78</v>
      </c>
      <c r="E1" s="31" t="s">
        <v>100</v>
      </c>
      <c r="F1" s="31" t="s">
        <v>101</v>
      </c>
      <c r="G1" s="31" t="s">
        <v>102</v>
      </c>
    </row>
    <row r="2" spans="1:7" x14ac:dyDescent="0.3">
      <c r="A2" t="s">
        <v>47</v>
      </c>
      <c r="B2" t="s">
        <v>76</v>
      </c>
      <c r="E2" s="33" t="s">
        <v>105</v>
      </c>
      <c r="F2" s="33" t="s">
        <v>105</v>
      </c>
      <c r="G2" s="33" t="s">
        <v>114</v>
      </c>
    </row>
    <row r="3" spans="1:7" x14ac:dyDescent="0.3">
      <c r="A3" t="s">
        <v>44</v>
      </c>
      <c r="B3" t="s">
        <v>76</v>
      </c>
      <c r="E3" s="33" t="s">
        <v>106</v>
      </c>
      <c r="F3" s="33" t="s">
        <v>106</v>
      </c>
      <c r="G3" s="33" t="s">
        <v>115</v>
      </c>
    </row>
    <row r="4" spans="1:7" x14ac:dyDescent="0.3">
      <c r="A4" t="s">
        <v>11</v>
      </c>
      <c r="B4" t="s">
        <v>76</v>
      </c>
      <c r="E4" s="33" t="s">
        <v>107</v>
      </c>
      <c r="F4" s="33" t="s">
        <v>107</v>
      </c>
      <c r="G4" s="33" t="s">
        <v>116</v>
      </c>
    </row>
    <row r="5" spans="1:7" x14ac:dyDescent="0.3">
      <c r="A5" t="s">
        <v>15</v>
      </c>
      <c r="B5" t="s">
        <v>76</v>
      </c>
      <c r="E5" s="33" t="s">
        <v>108</v>
      </c>
      <c r="F5" s="33" t="s">
        <v>108</v>
      </c>
      <c r="G5" s="33" t="s">
        <v>117</v>
      </c>
    </row>
    <row r="6" spans="1:7" x14ac:dyDescent="0.3">
      <c r="A6" t="s">
        <v>61</v>
      </c>
      <c r="B6" t="s">
        <v>76</v>
      </c>
      <c r="E6" s="33" t="s">
        <v>109</v>
      </c>
      <c r="F6" s="33" t="s">
        <v>109</v>
      </c>
      <c r="G6" s="33" t="s">
        <v>118</v>
      </c>
    </row>
    <row r="7" spans="1:7" x14ac:dyDescent="0.3">
      <c r="A7" t="s">
        <v>63</v>
      </c>
      <c r="B7" t="s">
        <v>76</v>
      </c>
      <c r="E7" s="33" t="s">
        <v>110</v>
      </c>
      <c r="F7" s="33" t="s">
        <v>110</v>
      </c>
      <c r="G7" s="33" t="s">
        <v>119</v>
      </c>
    </row>
    <row r="8" spans="1:7" x14ac:dyDescent="0.3">
      <c r="A8" t="s">
        <v>56</v>
      </c>
      <c r="B8" t="s">
        <v>77</v>
      </c>
      <c r="E8" s="33" t="s">
        <v>111</v>
      </c>
      <c r="F8" s="33" t="s">
        <v>111</v>
      </c>
      <c r="G8" s="33" t="s">
        <v>120</v>
      </c>
    </row>
    <row r="9" spans="1:7" x14ac:dyDescent="0.3">
      <c r="A9" t="s">
        <v>14</v>
      </c>
      <c r="B9" t="s">
        <v>77</v>
      </c>
      <c r="E9" s="33" t="s">
        <v>112</v>
      </c>
      <c r="F9" s="33" t="s">
        <v>112</v>
      </c>
      <c r="G9" s="33" t="s">
        <v>121</v>
      </c>
    </row>
    <row r="10" spans="1:7" x14ac:dyDescent="0.3">
      <c r="A10" t="s">
        <v>13</v>
      </c>
      <c r="B10" t="s">
        <v>77</v>
      </c>
      <c r="E10" s="33" t="s">
        <v>113</v>
      </c>
      <c r="F10" s="33" t="s">
        <v>113</v>
      </c>
      <c r="G10" s="33" t="s">
        <v>122</v>
      </c>
    </row>
    <row r="11" spans="1:7" x14ac:dyDescent="0.3">
      <c r="A11" t="s">
        <v>97</v>
      </c>
      <c r="B11" t="s">
        <v>76</v>
      </c>
      <c r="E11">
        <v>10</v>
      </c>
      <c r="F11">
        <v>10</v>
      </c>
      <c r="G11" s="33" t="s">
        <v>123</v>
      </c>
    </row>
    <row r="12" spans="1:7" x14ac:dyDescent="0.3">
      <c r="E12">
        <v>11</v>
      </c>
      <c r="F12">
        <v>11</v>
      </c>
      <c r="G12" s="33" t="s">
        <v>124</v>
      </c>
    </row>
    <row r="13" spans="1:7" x14ac:dyDescent="0.3">
      <c r="E13">
        <v>12</v>
      </c>
      <c r="F13">
        <v>12</v>
      </c>
      <c r="G13" s="33" t="s">
        <v>125</v>
      </c>
    </row>
    <row r="14" spans="1:7" x14ac:dyDescent="0.3">
      <c r="E14">
        <v>13</v>
      </c>
      <c r="F14"/>
      <c r="G14" s="33" t="s">
        <v>126</v>
      </c>
    </row>
    <row r="15" spans="1:7" x14ac:dyDescent="0.3">
      <c r="E15">
        <v>14</v>
      </c>
      <c r="F15"/>
      <c r="G15" s="33" t="s">
        <v>127</v>
      </c>
    </row>
    <row r="16" spans="1:7" x14ac:dyDescent="0.3">
      <c r="E16">
        <v>15</v>
      </c>
      <c r="F16"/>
      <c r="G16" s="33" t="s">
        <v>128</v>
      </c>
    </row>
    <row r="17" spans="5:7" x14ac:dyDescent="0.3">
      <c r="E17">
        <v>16</v>
      </c>
      <c r="F17"/>
      <c r="G17" s="33" t="s">
        <v>129</v>
      </c>
    </row>
    <row r="18" spans="5:7" x14ac:dyDescent="0.3">
      <c r="E18">
        <v>17</v>
      </c>
      <c r="F18"/>
      <c r="G18" s="33" t="s">
        <v>130</v>
      </c>
    </row>
    <row r="19" spans="5:7" x14ac:dyDescent="0.3">
      <c r="E19">
        <v>18</v>
      </c>
      <c r="F19"/>
      <c r="G19" s="33" t="s">
        <v>131</v>
      </c>
    </row>
    <row r="20" spans="5:7" x14ac:dyDescent="0.3">
      <c r="E20">
        <v>19</v>
      </c>
      <c r="F20"/>
      <c r="G20" s="33" t="s">
        <v>132</v>
      </c>
    </row>
    <row r="21" spans="5:7" x14ac:dyDescent="0.3">
      <c r="E21">
        <v>20</v>
      </c>
      <c r="F21"/>
      <c r="G21" s="33" t="s">
        <v>133</v>
      </c>
    </row>
    <row r="22" spans="5:7" x14ac:dyDescent="0.3">
      <c r="E22">
        <v>21</v>
      </c>
      <c r="F22"/>
      <c r="G22" s="33" t="s">
        <v>134</v>
      </c>
    </row>
    <row r="23" spans="5:7" x14ac:dyDescent="0.3">
      <c r="E23">
        <v>22</v>
      </c>
      <c r="F23"/>
      <c r="G23" s="33" t="s">
        <v>135</v>
      </c>
    </row>
    <row r="24" spans="5:7" x14ac:dyDescent="0.3">
      <c r="E24">
        <v>23</v>
      </c>
      <c r="F24"/>
      <c r="G24" s="33" t="s">
        <v>136</v>
      </c>
    </row>
    <row r="25" spans="5:7" x14ac:dyDescent="0.3">
      <c r="E25">
        <v>24</v>
      </c>
      <c r="F25"/>
      <c r="G25" s="33" t="s">
        <v>137</v>
      </c>
    </row>
    <row r="26" spans="5:7" x14ac:dyDescent="0.3">
      <c r="E26">
        <v>25</v>
      </c>
      <c r="F26"/>
      <c r="G26" s="33" t="s">
        <v>138</v>
      </c>
    </row>
    <row r="27" spans="5:7" x14ac:dyDescent="0.3">
      <c r="E27">
        <v>26</v>
      </c>
      <c r="F27"/>
      <c r="G27" s="33" t="s">
        <v>139</v>
      </c>
    </row>
    <row r="28" spans="5:7" x14ac:dyDescent="0.3">
      <c r="E28">
        <v>27</v>
      </c>
      <c r="F28"/>
      <c r="G28" s="33" t="s">
        <v>140</v>
      </c>
    </row>
    <row r="29" spans="5:7" x14ac:dyDescent="0.3">
      <c r="E29">
        <v>28</v>
      </c>
      <c r="F29"/>
      <c r="G29" s="33" t="s">
        <v>141</v>
      </c>
    </row>
    <row r="30" spans="5:7" x14ac:dyDescent="0.3">
      <c r="E30">
        <v>29</v>
      </c>
      <c r="F30"/>
      <c r="G30" s="33" t="s">
        <v>142</v>
      </c>
    </row>
    <row r="31" spans="5:7" x14ac:dyDescent="0.3">
      <c r="E31">
        <v>30</v>
      </c>
      <c r="F31"/>
      <c r="G31" s="33" t="s">
        <v>143</v>
      </c>
    </row>
    <row r="32" spans="5:7" x14ac:dyDescent="0.3">
      <c r="E32">
        <v>31</v>
      </c>
      <c r="F32"/>
      <c r="G32" s="33" t="s">
        <v>144</v>
      </c>
    </row>
    <row r="33" spans="5:7" x14ac:dyDescent="0.3">
      <c r="E33"/>
      <c r="F33"/>
      <c r="G33" s="33" t="s">
        <v>145</v>
      </c>
    </row>
    <row r="34" spans="5:7" x14ac:dyDescent="0.3">
      <c r="E34"/>
      <c r="F34"/>
      <c r="G34" s="33" t="s">
        <v>146</v>
      </c>
    </row>
    <row r="35" spans="5:7" x14ac:dyDescent="0.3">
      <c r="E35"/>
      <c r="F35"/>
      <c r="G35" s="33" t="s">
        <v>147</v>
      </c>
    </row>
    <row r="36" spans="5:7" x14ac:dyDescent="0.3">
      <c r="E36"/>
      <c r="F36"/>
      <c r="G36" s="33" t="s">
        <v>148</v>
      </c>
    </row>
  </sheetData>
  <sortState xmlns:xlrd2="http://schemas.microsoft.com/office/spreadsheetml/2017/richdata2" ref="G2:G67">
    <sortCondition descending="1" ref="G2:G67"/>
  </sortState>
  <phoneticPr fontId="2" type="noConversion"/>
  <pageMargins left="0.7" right="0.7" top="0.75" bottom="0.75" header="0.3" footer="0.3"/>
  <ignoredErrors>
    <ignoredError sqref="E1:G36" numberStoredAsText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Nazwane zakresy</vt:lpstr>
      </vt:variant>
      <vt:variant>
        <vt:i4>2</vt:i4>
      </vt:variant>
    </vt:vector>
  </HeadingPairs>
  <TitlesOfParts>
    <vt:vector size="8" baseType="lpstr">
      <vt:lpstr>Pracownicy</vt:lpstr>
      <vt:lpstr>ListaPłac</vt:lpstr>
      <vt:lpstr>Wynagrodzenie</vt:lpstr>
      <vt:lpstr>Wykresy</vt:lpstr>
      <vt:lpstr>DaneDodatkowe</vt:lpstr>
      <vt:lpstr>Stanowiska</vt:lpstr>
      <vt:lpstr>Pracownik</vt:lpstr>
      <vt:lpstr>PracownikNazwisko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Projekt - Kadry i płace</dc:title>
  <dc:creator>Marta Seidler</dc:creator>
  <cp:lastModifiedBy>Marta Seidler</cp:lastModifiedBy>
  <cp:lastPrinted>2024-04-11T12:07:41Z</cp:lastPrinted>
  <dcterms:created xsi:type="dcterms:W3CDTF">2024-04-06T11:29:11Z</dcterms:created>
  <dcterms:modified xsi:type="dcterms:W3CDTF">2024-04-11T12:08:04Z</dcterms:modified>
</cp:coreProperties>
</file>